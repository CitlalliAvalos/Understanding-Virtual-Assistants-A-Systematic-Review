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a47913dd046be2af/Escritorio/PaperISFI/"/>
    </mc:Choice>
  </mc:AlternateContent>
  <xr:revisionPtr revIDLastSave="170" documentId="8_{7CA25795-C13B-454C-8310-F887A5F7FAF6}" xr6:coauthVersionLast="47" xr6:coauthVersionMax="47" xr10:uidLastSave="{C759A446-6E73-4A03-9924-BEC90EE993BC}"/>
  <bookViews>
    <workbookView xWindow="-110" yWindow="-110" windowWidth="19420" windowHeight="10300" firstSheet="1" activeTab="4" xr2:uid="{B8759F9D-4B98-43BF-8D85-78814EBF3ACF}"/>
  </bookViews>
  <sheets>
    <sheet name="Extracted Evidence" sheetId="2" r:id="rId1"/>
    <sheet name="Challenges Coding" sheetId="5" r:id="rId2"/>
    <sheet name="Limitations Coding" sheetId="4" r:id="rId3"/>
    <sheet name="Temporal Analysis" sheetId="6" r:id="rId4"/>
    <sheet name="Objective and Scope"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2" i="4" l="1" a="1"/>
  <c r="L2" i="4" s="1"/>
  <c r="M2" i="4" s="1"/>
  <c r="N4" i="5" a="1"/>
  <c r="N4" i="5" s="1"/>
  <c r="N5" i="5" a="1"/>
  <c r="N5" i="5"/>
  <c r="N6" i="5" a="1"/>
  <c r="N6" i="5"/>
  <c r="N7" i="5" a="1"/>
  <c r="N7" i="5" s="1"/>
  <c r="N8" i="5" a="1"/>
  <c r="N8" i="5" s="1"/>
  <c r="N9" i="5" a="1"/>
  <c r="N9" i="5" s="1"/>
  <c r="N10" i="5" a="1"/>
  <c r="N10" i="5" s="1"/>
  <c r="N11" i="5" a="1"/>
  <c r="N11" i="5" s="1"/>
  <c r="N12" i="5" a="1"/>
  <c r="N12" i="5"/>
  <c r="N13" i="5" a="1"/>
  <c r="N13" i="5" s="1"/>
  <c r="N14" i="5" a="1"/>
  <c r="N14" i="5" s="1"/>
  <c r="N15" i="5" a="1"/>
  <c r="N15" i="5"/>
  <c r="N16" i="5" a="1"/>
  <c r="N16" i="5" s="1"/>
  <c r="N17" i="5" a="1"/>
  <c r="N17" i="5"/>
  <c r="N18" i="5" a="1"/>
  <c r="N18" i="5"/>
  <c r="N19" i="5" a="1"/>
  <c r="N19" i="5"/>
  <c r="N20" i="5" a="1"/>
  <c r="N20" i="5" s="1"/>
  <c r="N21" i="5" a="1"/>
  <c r="N21" i="5" s="1"/>
  <c r="N22" i="5" a="1"/>
  <c r="N22" i="5" s="1"/>
  <c r="N23" i="5" a="1"/>
  <c r="N23" i="5" s="1"/>
  <c r="N24" i="5" a="1"/>
  <c r="N24" i="5"/>
  <c r="N25" i="5" a="1"/>
  <c r="N25" i="5"/>
  <c r="N26" i="5" a="1"/>
  <c r="N26" i="5"/>
  <c r="N27" i="5" a="1"/>
  <c r="N27" i="5" s="1"/>
  <c r="N28" i="5" a="1"/>
  <c r="N28" i="5" s="1"/>
  <c r="N29" i="5" a="1"/>
  <c r="N29" i="5" s="1"/>
  <c r="N30" i="5" a="1"/>
  <c r="N30" i="5" s="1"/>
  <c r="N31" i="5" a="1"/>
  <c r="N31" i="5"/>
  <c r="N32" i="5" a="1"/>
  <c r="N32" i="5"/>
  <c r="N33" i="5" a="1"/>
  <c r="N33" i="5" s="1"/>
  <c r="N34" i="5" a="1"/>
  <c r="N34" i="5" s="1"/>
  <c r="N35" i="5" a="1"/>
  <c r="N35" i="5"/>
  <c r="N36" i="5" a="1"/>
  <c r="N36" i="5"/>
  <c r="N37" i="5" a="1"/>
  <c r="N37" i="5"/>
  <c r="N38" i="5" a="1"/>
  <c r="N38" i="5"/>
  <c r="N39" i="5" a="1"/>
  <c r="N39" i="5"/>
  <c r="N40" i="5" a="1"/>
  <c r="N40" i="5" s="1"/>
  <c r="N41" i="5" a="1"/>
  <c r="N41" i="5"/>
  <c r="N42" i="5" a="1"/>
  <c r="N42" i="5"/>
  <c r="N43" i="5" a="1"/>
  <c r="N43" i="5"/>
  <c r="N44" i="5" a="1"/>
  <c r="N44" i="5"/>
  <c r="N45" i="5" a="1"/>
  <c r="N45" i="5"/>
  <c r="N46" i="5" a="1"/>
  <c r="N46" i="5" s="1"/>
  <c r="N47" i="5" a="1"/>
  <c r="N47" i="5"/>
  <c r="N48" i="5" a="1"/>
  <c r="N48" i="5"/>
  <c r="N49" i="5" a="1"/>
  <c r="N49" i="5"/>
  <c r="N50" i="5" a="1"/>
  <c r="N50" i="5"/>
  <c r="N51" i="5" a="1"/>
  <c r="N51" i="5"/>
  <c r="N52" i="5" a="1"/>
  <c r="N52" i="5" s="1"/>
  <c r="N53" i="5" a="1"/>
  <c r="N53" i="5"/>
  <c r="N54" i="5" a="1"/>
  <c r="N54" i="5"/>
  <c r="N55" i="5" a="1"/>
  <c r="N55" i="5"/>
  <c r="N56" i="5" a="1"/>
  <c r="N56" i="5"/>
  <c r="N57" i="5" a="1"/>
  <c r="N57" i="5"/>
  <c r="N58" i="5" a="1"/>
  <c r="N58" i="5" s="1"/>
  <c r="N59" i="5" a="1"/>
  <c r="N59" i="5"/>
  <c r="N60" i="5" a="1"/>
  <c r="N60" i="5"/>
  <c r="N61" i="5" a="1"/>
  <c r="N61" i="5"/>
  <c r="N62" i="5" a="1"/>
  <c r="N62" i="5"/>
  <c r="N63" i="5" a="1"/>
  <c r="N63" i="5"/>
  <c r="N64" i="5" a="1"/>
  <c r="N64" i="5" s="1"/>
  <c r="N65" i="5" a="1"/>
  <c r="N65" i="5"/>
  <c r="N66" i="5" a="1"/>
  <c r="N66" i="5"/>
  <c r="N67" i="5" a="1"/>
  <c r="N67" i="5"/>
  <c r="N68" i="5" a="1"/>
  <c r="N68" i="5"/>
  <c r="N69" i="5" a="1"/>
  <c r="N69" i="5"/>
  <c r="N70" i="5" a="1"/>
  <c r="N70" i="5" s="1"/>
  <c r="N71" i="5" a="1"/>
  <c r="N71" i="5"/>
  <c r="N72" i="5" a="1"/>
  <c r="N72" i="5"/>
  <c r="N73" i="5" a="1"/>
  <c r="N73" i="5"/>
  <c r="N74" i="5" a="1"/>
  <c r="N74" i="5"/>
  <c r="N75" i="5" a="1"/>
  <c r="N75" i="5"/>
  <c r="N76" i="5" a="1"/>
  <c r="N76" i="5" s="1"/>
  <c r="N77" i="5" a="1"/>
  <c r="N77" i="5"/>
  <c r="N78" i="5" a="1"/>
  <c r="N78" i="5"/>
  <c r="N79" i="5" a="1"/>
  <c r="N79" i="5"/>
  <c r="N80" i="5" a="1"/>
  <c r="N80" i="5"/>
  <c r="N81" i="5" a="1"/>
  <c r="N81" i="5"/>
  <c r="N82" i="5" a="1"/>
  <c r="N82" i="5" s="1"/>
  <c r="N83" i="5" a="1"/>
  <c r="N83" i="5"/>
  <c r="N3" i="5" a="1"/>
  <c r="N3" i="5" s="1"/>
  <c r="N2" i="5" a="1"/>
  <c r="N2" i="5" s="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2" i="5"/>
  <c r="L2" i="5" a="1"/>
  <c r="L2" i="5" s="1"/>
  <c r="N23" i="4" l="1" a="1"/>
  <c r="N23" i="4" s="1"/>
  <c r="N11" i="4" a="1"/>
  <c r="N11" i="4" s="1"/>
  <c r="M86" i="4"/>
  <c r="M74" i="4"/>
  <c r="M62" i="4"/>
  <c r="M50" i="4"/>
  <c r="M38" i="4"/>
  <c r="M26" i="4"/>
  <c r="M14" i="4"/>
  <c r="N37" i="4" a="1"/>
  <c r="N37" i="4" s="1"/>
  <c r="N72" i="4" a="1"/>
  <c r="N72" i="4" s="1"/>
  <c r="N83" i="4" a="1"/>
  <c r="N83" i="4" s="1"/>
  <c r="N71" i="4" a="1"/>
  <c r="N71" i="4" s="1"/>
  <c r="N59" i="4" a="1"/>
  <c r="N59" i="4" s="1"/>
  <c r="N47" i="4" a="1"/>
  <c r="N47" i="4" s="1"/>
  <c r="N35" i="4" a="1"/>
  <c r="N35" i="4" s="1"/>
  <c r="N82" i="4" a="1"/>
  <c r="N82" i="4" s="1"/>
  <c r="N70" i="4" a="1"/>
  <c r="N70" i="4" s="1"/>
  <c r="N58" i="4" a="1"/>
  <c r="N58" i="4" s="1"/>
  <c r="N46" i="4" a="1"/>
  <c r="N46" i="4" s="1"/>
  <c r="N34" i="4" a="1"/>
  <c r="N34" i="4" s="1"/>
  <c r="N22" i="4" a="1"/>
  <c r="N22" i="4" s="1"/>
  <c r="N10" i="4" a="1"/>
  <c r="N10" i="4" s="1"/>
  <c r="M85" i="4"/>
  <c r="M73" i="4"/>
  <c r="M61" i="4"/>
  <c r="M49" i="4"/>
  <c r="M37" i="4"/>
  <c r="M25" i="4"/>
  <c r="M13" i="4"/>
  <c r="N9" i="4" a="1"/>
  <c r="N9" i="4" s="1"/>
  <c r="M84" i="4"/>
  <c r="M72" i="4"/>
  <c r="M60" i="4"/>
  <c r="M48" i="4"/>
  <c r="M36" i="4"/>
  <c r="M24" i="4"/>
  <c r="M12" i="4"/>
  <c r="N80" i="4" a="1"/>
  <c r="N80" i="4" s="1"/>
  <c r="N68" i="4" a="1"/>
  <c r="N68" i="4" s="1"/>
  <c r="N56" i="4" a="1"/>
  <c r="N56" i="4" s="1"/>
  <c r="N44" i="4" a="1"/>
  <c r="N44" i="4" s="1"/>
  <c r="N32" i="4" a="1"/>
  <c r="N32" i="4" s="1"/>
  <c r="N20" i="4" a="1"/>
  <c r="N20" i="4" s="1"/>
  <c r="N8" i="4" a="1"/>
  <c r="N8" i="4" s="1"/>
  <c r="M83" i="4"/>
  <c r="M71" i="4"/>
  <c r="M59" i="4"/>
  <c r="M47" i="4"/>
  <c r="M35" i="4"/>
  <c r="M23" i="4"/>
  <c r="M11" i="4"/>
  <c r="N7" i="4" a="1"/>
  <c r="N7" i="4" s="1"/>
  <c r="M82" i="4"/>
  <c r="M70" i="4"/>
  <c r="M58" i="4"/>
  <c r="M46" i="4"/>
  <c r="M34" i="4"/>
  <c r="M22" i="4"/>
  <c r="M10" i="4"/>
  <c r="N6" i="4" a="1"/>
  <c r="N6" i="4" s="1"/>
  <c r="M81" i="4"/>
  <c r="M69" i="4"/>
  <c r="M57" i="4"/>
  <c r="M45" i="4"/>
  <c r="M33" i="4"/>
  <c r="M21" i="4"/>
  <c r="M9" i="4"/>
  <c r="N5" i="4" a="1"/>
  <c r="N5" i="4" s="1"/>
  <c r="M80" i="4"/>
  <c r="M68" i="4"/>
  <c r="M56" i="4"/>
  <c r="M44" i="4"/>
  <c r="M32" i="4"/>
  <c r="M20" i="4"/>
  <c r="M8" i="4"/>
  <c r="N73" i="4" a="1"/>
  <c r="N73" i="4" s="1"/>
  <c r="N81" i="4" a="1"/>
  <c r="N81" i="4" s="1"/>
  <c r="N45" i="4" a="1"/>
  <c r="N45" i="4" s="1"/>
  <c r="N79" i="4" a="1"/>
  <c r="N79" i="4" s="1"/>
  <c r="N55" i="4" a="1"/>
  <c r="N55" i="4" s="1"/>
  <c r="N31" i="4" a="1"/>
  <c r="N31" i="4" s="1"/>
  <c r="N78" i="4" a="1"/>
  <c r="N78" i="4" s="1"/>
  <c r="N42" i="4" a="1"/>
  <c r="N42" i="4" s="1"/>
  <c r="N77" i="4" a="1"/>
  <c r="N77" i="4" s="1"/>
  <c r="N41" i="4" a="1"/>
  <c r="N41" i="4" s="1"/>
  <c r="N64" i="4" a="1"/>
  <c r="N64" i="4" s="1"/>
  <c r="N40" i="4" a="1"/>
  <c r="N40" i="4" s="1"/>
  <c r="N16" i="4" a="1"/>
  <c r="N16" i="4" s="1"/>
  <c r="N4" i="4" a="1"/>
  <c r="N4" i="4" s="1"/>
  <c r="M79" i="4"/>
  <c r="M67" i="4"/>
  <c r="M55" i="4"/>
  <c r="M43" i="4"/>
  <c r="M31" i="4"/>
  <c r="M19" i="4"/>
  <c r="M7" i="4"/>
  <c r="N49" i="4" a="1"/>
  <c r="N49" i="4" s="1"/>
  <c r="N57" i="4" a="1"/>
  <c r="N57" i="4" s="1"/>
  <c r="N33" i="4" a="1"/>
  <c r="N33" i="4" s="1"/>
  <c r="N2" i="4" a="1"/>
  <c r="N2" i="4" s="1"/>
  <c r="N54" i="4" a="1"/>
  <c r="N54" i="4" s="1"/>
  <c r="N30" i="4" a="1"/>
  <c r="N30" i="4" s="1"/>
  <c r="N89" i="4" a="1"/>
  <c r="N89" i="4" s="1"/>
  <c r="N65" i="4" a="1"/>
  <c r="N65" i="4" s="1"/>
  <c r="N17" i="4" a="1"/>
  <c r="N17" i="4" s="1"/>
  <c r="N76" i="4" a="1"/>
  <c r="N76" i="4" s="1"/>
  <c r="N52" i="4" a="1"/>
  <c r="N52" i="4" s="1"/>
  <c r="N28" i="4" a="1"/>
  <c r="N28" i="4" s="1"/>
  <c r="N87" i="4" a="1"/>
  <c r="N87" i="4" s="1"/>
  <c r="N75" i="4" a="1"/>
  <c r="N75" i="4" s="1"/>
  <c r="N63" i="4" a="1"/>
  <c r="N63" i="4" s="1"/>
  <c r="N51" i="4" a="1"/>
  <c r="N51" i="4" s="1"/>
  <c r="N39" i="4" a="1"/>
  <c r="N39" i="4" s="1"/>
  <c r="N27" i="4" a="1"/>
  <c r="N27" i="4" s="1"/>
  <c r="N15" i="4" a="1"/>
  <c r="N15" i="4" s="1"/>
  <c r="N3" i="4" a="1"/>
  <c r="N3" i="4" s="1"/>
  <c r="M78" i="4"/>
  <c r="M66" i="4"/>
  <c r="M54" i="4"/>
  <c r="M42" i="4"/>
  <c r="M30" i="4"/>
  <c r="M18" i="4"/>
  <c r="M6" i="4"/>
  <c r="N61" i="4" a="1"/>
  <c r="N61" i="4" s="1"/>
  <c r="N69" i="4" a="1"/>
  <c r="N69" i="4" s="1"/>
  <c r="N21" i="4" a="1"/>
  <c r="N21" i="4" s="1"/>
  <c r="N67" i="4" a="1"/>
  <c r="N67" i="4" s="1"/>
  <c r="N43" i="4" a="1"/>
  <c r="N43" i="4" s="1"/>
  <c r="N19" i="4" a="1"/>
  <c r="N19" i="4" s="1"/>
  <c r="N66" i="4" a="1"/>
  <c r="N66" i="4" s="1"/>
  <c r="N18" i="4" a="1"/>
  <c r="N18" i="4" s="1"/>
  <c r="N53" i="4" a="1"/>
  <c r="N53" i="4" s="1"/>
  <c r="N29" i="4" a="1"/>
  <c r="N29" i="4" s="1"/>
  <c r="N88" i="4" a="1"/>
  <c r="N88" i="4" s="1"/>
  <c r="N86" i="4" a="1"/>
  <c r="N86" i="4" s="1"/>
  <c r="N74" i="4" a="1"/>
  <c r="N74" i="4" s="1"/>
  <c r="N62" i="4" a="1"/>
  <c r="N62" i="4" s="1"/>
  <c r="N50" i="4" a="1"/>
  <c r="N50" i="4" s="1"/>
  <c r="N38" i="4" a="1"/>
  <c r="N38" i="4" s="1"/>
  <c r="N26" i="4" a="1"/>
  <c r="N26" i="4" s="1"/>
  <c r="N14" i="4" a="1"/>
  <c r="N14" i="4" s="1"/>
  <c r="M89" i="4"/>
  <c r="M77" i="4"/>
  <c r="M65" i="4"/>
  <c r="M53" i="4"/>
  <c r="M41" i="4"/>
  <c r="M29" i="4"/>
  <c r="M17" i="4"/>
  <c r="M5" i="4"/>
  <c r="N85" i="4" a="1"/>
  <c r="N85" i="4" s="1"/>
  <c r="N25" i="4" a="1"/>
  <c r="N25" i="4" s="1"/>
  <c r="N13" i="4" a="1"/>
  <c r="N13" i="4" s="1"/>
  <c r="M88" i="4"/>
  <c r="M76" i="4"/>
  <c r="M64" i="4"/>
  <c r="M52" i="4"/>
  <c r="M40" i="4"/>
  <c r="M28" i="4"/>
  <c r="M16" i="4"/>
  <c r="M4" i="4"/>
  <c r="N84" i="4" a="1"/>
  <c r="N84" i="4" s="1"/>
  <c r="N60" i="4" a="1"/>
  <c r="N60" i="4" s="1"/>
  <c r="N48" i="4" a="1"/>
  <c r="N48" i="4" s="1"/>
  <c r="N36" i="4" a="1"/>
  <c r="N36" i="4" s="1"/>
  <c r="N24" i="4" a="1"/>
  <c r="N24" i="4" s="1"/>
  <c r="N12" i="4" a="1"/>
  <c r="N12" i="4" s="1"/>
  <c r="M87" i="4"/>
  <c r="M75" i="4"/>
  <c r="M63" i="4"/>
  <c r="M51" i="4"/>
  <c r="M39" i="4"/>
  <c r="M27" i="4"/>
  <c r="M15" i="4"/>
  <c r="M3" i="4"/>
  <c r="M8" i="6" a="1"/>
  <c r="M8" i="6" s="1"/>
  <c r="M7" i="6" a="1"/>
  <c r="M7" i="6" s="1"/>
  <c r="M6" i="6" a="1"/>
  <c r="M6" i="6" s="1"/>
  <c r="K6" i="6" a="1"/>
  <c r="L8" i="6" s="1"/>
  <c r="K6" i="6" l="1"/>
  <c r="L6" i="6" s="1"/>
  <c r="L9" i="6" s="1"/>
  <c r="L7"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<sst xmlns="http://schemas.openxmlformats.org/spreadsheetml/2006/main" count="4923" uniqueCount="1540">
  <si>
    <t>1) "Notwithstanding, chatbot systems can easily handle a large  number of customer communications at the same time and  increase the efficiency of customer service. However, many  users remain reluctant to interact with chatbots indicating,  for example, a lack of empathy and/or personal emotion  [12]. Furthermore, other issues including personal privacy  (Song et al., 2022), feelings of discomfort [51], and difficulty  in “real” interaction [17] can directly lead to the poor user  experience."</t>
  </si>
  <si>
    <t>ID</t>
  </si>
  <si>
    <t>Area</t>
  </si>
  <si>
    <t>Subarea</t>
  </si>
  <si>
    <t>Reference</t>
  </si>
  <si>
    <t>Cross Reference</t>
  </si>
  <si>
    <t>A1</t>
  </si>
  <si>
    <t>Health</t>
  </si>
  <si>
    <t>Therapeutic interventions</t>
  </si>
  <si>
    <t>Fabio Catania, Micol Spitale, and Franca Garzotto. 2023. Conversational Agents in Therapeutic Interventions for Neurodevelopmental Disorders: A Survey. ACM Comput. Surv. 55, 10, Article 209 (October 2023), 34 pages. https://doi.org/10.1145/3564269</t>
  </si>
  <si>
    <t/>
  </si>
  <si>
    <t>A3</t>
  </si>
  <si>
    <t>Technology</t>
  </si>
  <si>
    <t>Software Engineering</t>
  </si>
  <si>
    <t>Stefano Lambiase, Gemma Catolino, Fabio Palomba, and Filomena Ferrucci. 2024. Motivations, Challenges, Best Practices, and Benefits for Bots and Conversational Agents in Software Engineering: A Multivocal Literature Review. ACM Comput. Surv. 57, 4, Article 93 (December 2024), 37 pages. https://doi.org/10.1145/3704806</t>
  </si>
  <si>
    <t>[136] Tom Lewandowski, Jasmin Delling, Christian Grotherr, and Tilo Böhmann. 2021. State-of-the-art analysis of adopting ai-based conversational agents in organizations: A systematic literature review. In Proceedings of the 25th Pacific Asia Conference on Information Systems. 1–14.</t>
  </si>
  <si>
    <t>A5</t>
  </si>
  <si>
    <t>Human-Computer Interaction</t>
  </si>
  <si>
    <t>Roland Oruche, Sai Keerthana Goruganthu, Rithika Akula, Xiyao Cheng, Ashraful Md Goni, Bruce W. Shibo, Kerk Kee, Marcos Zampieri and Prasad Calyam. 2025. A review of recent advances in human-centred dialogue systems. ACM Comput. Surv. Just accepted (May 2025). https://doi.org/10.1145/3729220</t>
  </si>
  <si>
    <t>A6</t>
  </si>
  <si>
    <t>Dialogue systems</t>
  </si>
  <si>
    <t>Quim Motger, Xavier Franch and Jordi Marco. 2022. Software-based dialogue systems: Revision, taxonomy, and challenges. ACM Comput. Surv. 55, 5, Article 91 (December 2022), 42 pages. https://doi.org/10.1145/3527450</t>
  </si>
  <si>
    <t>A7</t>
  </si>
  <si>
    <t>Trust</t>
  </si>
  <si>
    <t>Brett W. Israelsen and Nisar R. Ahmed. 2019. "Dave... I assure you... that everything is going to be fine..." Definition, justification and study of algorithmic guarantees in the relationships of trust between human beings and autonomy. ACM Comput. Surv. 51, 6, Article 113 (January 2019), 37 pages. https://doi.org/10.1145/3267338</t>
  </si>
  <si>
    <t>B1</t>
  </si>
  <si>
    <t>Chen, J., Guo, F., Ren, Z. et al. Human-chatbot interaction studies through the lens of bibliometric analysis. Univ Access Inf Soc 24, 79–98 (2023). https://doi.org/10.1007/s10209-023-01058-y</t>
  </si>
  <si>
    <t>1) Lack of empathy or personal emotion, privacy, difficulty of use, and feeling of discomfort are identified as factors that harm the user experience with chatbots.</t>
  </si>
  <si>
    <t>1) Section 1.2 (Human-chatbot interaction), page 2 (81)</t>
  </si>
  <si>
    <t>[12] Cheng, X., et al.: Exploring consumers' response to text-based chatbots in e-commerce: The moderating role of task complexity and chatbot disclosure. Internet Res. 32(2), 496–517 (2022).https://doi.org/10.1108/intr-08-2020-0460 [17] Colace, F., et al.: BotWheels: A petri net based chatbot for recommending tires. DATA 17, 350–358 (2017) [51] Luo, X., et al.: Frontiers: Machines vs. humans: The impact of artificial intelligence chatbot disclosure on customer purchases.  Market. Sci. 38(6), 937–947 (2019). https:// doi. org/ 10. 1287/ MKSC.2019.1192</t>
  </si>
  <si>
    <t>B2</t>
  </si>
  <si>
    <t>Application Development Strategies</t>
  </si>
  <si>
    <t>Yigit, G., Bayraktar, R. Chatbot development strategies: a review of current studies and applications. Knowl Inf Syst (2025). https://doi.org/10.1007/s10115-025-02462-x</t>
  </si>
  <si>
    <t>B3</t>
  </si>
  <si>
    <t>Personalization, Adaptive Chatbots</t>
  </si>
  <si>
    <t>Ait Baha, T., El Hajji, M., Es-Saady, Y. et al. The Power of Personalization: A Systematic Review of Personality-Adaptive Chatbots. SN COMPUT. SCI. 4, 661 (2023). https://doi.org/10.1007/s42979-023-02092-6</t>
  </si>
  <si>
    <t>B4</t>
  </si>
  <si>
    <t>Multi-user interaction, trends</t>
  </si>
  <si>
    <t>Kuhail, M.A., Taj, I., Alimamy, S. et al. A review on polyadic chatbots: trends, challenges, and future research directions. Knowl Inf Syst 67, 109–165 (2024). https://doi.org/10.1007/s10115-024-02287-0</t>
  </si>
  <si>
    <t>I did not find the reference [170] in the paper. The link in the quotation directs to these two references: [161] Zheng J, Yuan X, Chee YS (2005) Designing multiparty interaction support in Elva, an embodied tour
 guide. AMC, The Netherlands, pp 929–936 [162] Zheng Q et al (2022) UX research on conversational human-AI interaction: a literature review of the ACM digital library. AMC, New York, pp 1–24</t>
  </si>
  <si>
    <t>B5</t>
  </si>
  <si>
    <t>AI Applications</t>
  </si>
  <si>
    <t>Liu, L., Duffy, V.G. Exploring the Future Development of Artificial Intelligence (AI) Applications in Chatbots: A Bibliometric Analysis. Int J of Soc Robotics 15, 703–716 (2023). https://doi.org/10.1007/s12369-022-00956-0</t>
  </si>
  <si>
    <t>B6</t>
  </si>
  <si>
    <t>Education</t>
  </si>
  <si>
    <t>Student Support, Frequently Asked Questions</t>
  </si>
  <si>
    <t>Peyton, K., Unnikrishnan, S. &amp; Mulligan, B. A review of university chatbots for student support: FAQs and beyond. Discov Educ 4, 21 (2025). https://doi.org/10.1007/s44217-025-00397-7</t>
  </si>
  <si>
    <t>B7</t>
  </si>
  <si>
    <t>Student motivation, learning</t>
  </si>
  <si>
    <t>Huang, W., Jiang, J., King, R.B. et al. Chatbots and student motivation: a scoping review. Int J Educ Technol High Educ 22, 26 (2025). https://doi.org/10.1186/s41239-025-00524-2</t>
  </si>
  <si>
    <t>(Fryer et al., 2019) *Fryer, L. K., Nakao, K., &amp; Thompson, A. (2019). Chatbot learning partners: Connecting learning experiences, interest and 
competence. Computers in Human Behavior, 93, 279–289. https://doi.org/10.1016/j.chb.2018.12.023   
(Han et al., 2022) *Han, J. W., Park, J., &amp; Lee, H. (2022). Analysis of the effect of an artificial intelligence chatbot educational program on non-face-to-face classes: A quasi-experimental study. BMC Medical Education, 22(1), 1–10. https://doi.org/10.1186/s12909-022-03898-3</t>
  </si>
  <si>
    <t>B8</t>
  </si>
  <si>
    <t>Effectiveness Evaluation, Generative AI</t>
  </si>
  <si>
    <t>Abbasian, M., Khatibi, E., Azimi, I. et al. Foundation metrics for evaluating effectiveness of healthcare conversations powered by generative AI. npj Digit. Med. 7, 82 (2024). https://doi.org/10.1038/s41746-024-01074-z</t>
  </si>
  <si>
    <t>B9</t>
  </si>
  <si>
    <t>Large Language Models, Agents</t>
  </si>
  <si>
    <t>Xi, Z., Chen, W., Guo, X. et al. The rise and potential of large language model based agents: a survey.  Sci. China Inf. Sci. 68, 121101 (2025). https://doi.org/10.1007/s11432-024-4222-0</t>
  </si>
  <si>
    <t>B10</t>
  </si>
  <si>
    <t>Psychiatry, AI Applications</t>
  </si>
  <si>
    <t>Linardon, J.  Navigating the Future of Psychiatry: A Review of Research on Opportunities, Applications, and Challenges of Artificial Intelligence. Curr Treat Options Psych 12, 8 (2025). https://doi.org/10.1007/s40501-025-00344-1</t>
  </si>
  <si>
    <t>B11</t>
  </si>
  <si>
    <t>Higher Education</t>
  </si>
  <si>
    <t>B12</t>
  </si>
  <si>
    <t>Behavior change (smoking)</t>
  </si>
  <si>
    <t>Bauer-Kemény, C., Herth, F.  Quitting smoking as a challenge: use of technical aids to achieve abstinence. Pneumo Noticias 16, 42–46 (2024). https://doi.org/10.1007/s15033-024-4096-5</t>
  </si>
  <si>
    <t>[40] https://baum-medical.de/blog/ki-im-gesundheitswesen- Herausforde-Rungen-und-Chancen/</t>
  </si>
  <si>
    <t>B13</t>
  </si>
  <si>
    <t>Behavior Change (Lifestyle)</t>
  </si>
  <si>
    <t>Singh, B., Olds, T., Brinsley, J. et al.  Systematic review and meta-analysis of the effectiveness of chatbots on lifestyle behaviours. npj Digit. Med. 6, 118 (2023). https://doi.org/10.1038/s41746-023-00856-1</t>
  </si>
  <si>
    <t>B14</t>
  </si>
  <si>
    <t>Social Robotics, Dialogue Management</t>
  </si>
  <si>
    <t>Grassi, L., Recchiuto, C.T. &amp; Sgorbissa, A. Knowledge-Grounded Dialogue Flow Management for Social Robots and Conversational Agents. Int J of Soc Robotics 14, 1273–1293 (2022). https://doi.org/10.1007/s12369-022-00868-z</t>
  </si>
  <si>
    <t>B15</t>
  </si>
  <si>
    <t>Design techniques</t>
  </si>
  <si>
    <t>Agarwal, R., Wadhwa, M. Review of State-of-the-Art Design Techniques for Chatbots. SN COMPUT. SCI. 1, 246 (2020). https://doi.org/10.1007/s42979-020-00255-3</t>
  </si>
  <si>
    <t>[17] Bradeško L, Mladenić D. A survey of chabot systems through a loebner prize competition. Res Net. 2012; 2:1–4</t>
  </si>
  <si>
    <t>B16</t>
  </si>
  <si>
    <t>Multi-agent systems</t>
  </si>
  <si>
    <t>Li, X., Wang, S., Zeng, S. et al. A study on LLM-based multi-agent systems: workflow, infrastructure, and challenges. Vicinagearth 1, 9 (2024). https://doi.org/10.1007/s44336-024-00009-2</t>
  </si>
  <si>
    <t>B17</t>
  </si>
  <si>
    <t>Seniors</t>
  </si>
  <si>
    <t>Even, C., Hammann, T., Heyl, V. et al. Benefits and challenges of conversational agents in older adults. Z Gerontol Geriat 55, 381–387 (2022). https://doi.org/10.1007/s00391-022-02085-9</t>
  </si>
  <si>
    <t>B18</t>
  </si>
  <si>
    <t>König, C.M., Karrenbauer, C. &amp; Breitner, M.H. Development guidelines for individual digital study assistants in higher education. Int J Educ Technol High Educ 21, 9 (2024). https://doi.org/10.1186/s41239-024-00439-4</t>
  </si>
  <si>
    <t>B19</t>
  </si>
  <si>
    <t>Business</t>
  </si>
  <si>
    <t>Smart Manufacturing</t>
  </si>
  <si>
    <t>Varriale, V., Cammarano, A., Michelino, F. et al. Critical analysis of the impact of artificial intelligence integration with cutting-edge technologies for production systems. J Intell Manuf 36, 61–93 (2025). https://doi-org.access.biblioteca.cinvestav.mx/10.1007/s10845-023-02244-8</t>
  </si>
  <si>
    <t>B20</t>
  </si>
  <si>
    <t>Behavior Change (Digital Health)</t>
  </si>
  <si>
    <t>Pereira, J., Díaz, Ó. Using Health Chatbots for Behavior Change: A Mapping Study. J Med Syst 43, 135 (2019). https://doi-org.access.biblioteca.cinvestav.mx/10.1007/s10916-019-1237-1</t>
  </si>
  <si>
    <t>B21</t>
  </si>
  <si>
    <t>Postoperative management</t>
  </si>
  <si>
    <t>Campbell, K., Louie, P., Levine, B. et al. Using Patient Engagement Platforms in the Postoperative Management of Patients. Curr Rev Musculoskelet Med 13, 479–484 (2020). https://doi.org/10.1007/s12178-020-09638-8</t>
  </si>
  <si>
    <t>B22</t>
  </si>
  <si>
    <t>Digital Business Model</t>
  </si>
  <si>
    <t>Sewpersadh, N.S. Disruptive business value models in the digital era. J Innov Entrep 12, 2 (2023). https://doi.org/10.1186/s13731-022-00252-1</t>
  </si>
  <si>
    <t>B23</t>
  </si>
  <si>
    <t>Product Intelligence</t>
  </si>
  <si>
    <t>Graf, E., Zessinger, D. Alexa, know your limits: developing a framework for the accepted and desired degree of product smartness for digital voice assistants. SN Bus Econ 2, 43 (2022). https://doi.org/10.1007/s43546-022-00215-4</t>
  </si>
  <si>
    <t>B24</t>
  </si>
  <si>
    <t>Zhang, Z., Takanobu, R., Zhu, Q. et al. Recent advances and challenges in task-oriented dialog systems. Sci. China Technol. Sci. 63, 2011–2027 (2020). https://doi.org/10.1007/s11431-020-1692-3</t>
  </si>
  <si>
    <t>B25</t>
  </si>
  <si>
    <t>Rawassizadeh, R., Sen, T., Kim, S.J. et al. Manifestation of virtual assistants and robots into daily life: vision and challenges. CCF Trans. Pervasive Comp. Interact. 1, 163–174 (2019). https://doi.org/10.1007/s42486-019-00014-1</t>
  </si>
  <si>
    <t>B26</t>
  </si>
  <si>
    <t>Evolution of chatbots</t>
  </si>
  <si>
    <t>Shum, Hy., He, Xd. &amp; Li, D. From Eliza to XiaoIce: challenges and opportunities with social chatbots. Frontiers Inf Technol Electronic Eng 19, 10–26 (2018). https://doi-org.access.biblioteca.cinvestav.mx/10.1631/FITEE.1700826</t>
  </si>
  <si>
    <t>(Shawar and Atwell, 2007) Shawar BA, Atwell E, 2007. Different measurements metrics to evaluate a chatbot system. Proc Workshop on Bridging the Gap: Academic and Industrial Research in Dialog Technologies, p.89-96.  
(Yu et al., 2016) Yu Z, Xu ZY, Black AW, et al., 2016. Chatbot evaluation and database expansion via crowdsourcing. Proc RE-WOCHAT Workshop of LREC.</t>
  </si>
  <si>
    <t>C1</t>
  </si>
  <si>
    <t>Disease prediction</t>
  </si>
  <si>
    <t>V. Velasco, K. Dedy Setiawan, R. Robert Sanjaya, M. Susan Anggreainy and A. Kurniawan, "AI Chatbot Technology to Predict Disease: A Systematic Literature Review," 2023 4th International Conference on Artificial Intelligence and Data Sciences (AiDAS), IPOH, Malaysia, 2023, pp. 97-101, doi: 10.1109/AiDAS60501.2023.10284717.</t>
  </si>
  <si>
    <t>C2</t>
  </si>
  <si>
    <t>Computer-assisted collaborative learning</t>
  </si>
  <si>
    <t>Y. Liu and Y. Tang, "A Systematic Review on Using Chatbots in Computer-Supported Collaborative Learning," 2025 14th International Conference on Educational and Information Technology (ICEIT), Guangzhou, China, 2025, pp. 147-151, doi: 10.1109/ICEIT64364.2025.10975978.</t>
  </si>
  <si>
    <t>C3</t>
  </si>
  <si>
    <t xml:space="preserve">Y. Chu, K. Huang, C. Sun and M. Zhang, "Personalized dialogue systems: issues, methods and researches," International Conference on Electric Vehicle and Vehicle Engineering (CEVVE 2023), Shenzhen, China, 2023, pp. 142-151, doi: 10.1049/icp.2023.3365.
</t>
  </si>
  <si>
    <t xml:space="preserve">1) A limitation of the study was the small sample size (24 articles), which prevented them from performing a statistical analysis and limited the study to frequency analysis.                                  </t>
  </si>
  <si>
    <t xml:space="preserve">1) “We only report descriptive statistics (frequency analysis), because our sample (24 papers) was too small to get any significance from statistical tests.”                                                                                                                                                   </t>
  </si>
  <si>
    <t xml:space="preserve">(1) End of Section 4 (Totals and Results), page 8.        </t>
  </si>
  <si>
    <t xml:space="preserve">                          
2) How conversational agents work with a wide variety of people with neurodevelopmental disorders has not been explored. Studies have focused mostly on boys younger than 18 with a diagnosis of autism spectrum disorder.      </t>
  </si>
  <si>
    <t xml:space="preserve">                                                                                                                                          
2) " To summarize, results showed that researchers have mostly focused on male children (aged less than 18 years old) with ASD."                                                                                                                                                                                                  
                                                                                                                                                                                 </t>
  </si>
  <si>
    <t>(2) Section 4.1 (Target Group), bottom of page 10.</t>
  </si>
  <si>
    <t xml:space="preserve">3) The creation of conversational agents requires advanced technical knowledge of software engineering, which makes it difficult for specialists in "Neurodevelopmental Disorders" (NDD) to participate in the design and customization of the solutions.                                                                                        </t>
  </si>
  <si>
    <t xml:space="preserve">                                                                                                                                                                                             
3) " Future research will need to investigate the democratization of conversational agents’ development. We mean that conversational technology development must be made easily and widely accessible without requiring conversational agent developers to have in-depth software engineering knowledge. Conversational agents’ development democratization is fundamental, since conversational agents are not emerging as mere conventional technolo gies but as agents operating in social contexts. So, in the contest of conversational agents for NDD,theyshould becreated by psychologists, therapists, and interaction designers who are  experts in the NDD and HCI areas and can better address the special needs of each individual and the goals of the different therapeutic activities."                                                                                                                                                                                                                           </t>
  </si>
  <si>
    <t xml:space="preserve">3) Section 6 (Research agenda), page 29.                                </t>
  </si>
  <si>
    <t xml:space="preserve"> 4) There is no information about conversational agent design guidelines aimed at people with NDD. Therefore, the researchers propose to investigate modalities of entry and exit, activation actions, gender, appearance and form of the agent.                                                                                              </t>
  </si>
  <si>
    <t xml:space="preserve">                                                                                                                                                                                                                          
4) " It urges a deeper understanding of the preferences of people with NDD toward different design features of conversational agents. Indeed, we know about some general design guidelines for conversational agents, but universally recognized guidelines specific to NDD are still lacking. "                                                                                                                                                                                     </t>
  </si>
  <si>
    <t xml:space="preserve">4) Section 6 (Research agenda), page 29.     </t>
  </si>
  <si>
    <t xml:space="preserve"> 5) Most agents do not recognize emotions, which limits personalization, reduces therapeutic effectiveness, engagement, and usability.</t>
  </si>
  <si>
    <t xml:space="preserve">5) " ... we believe that future research should focus on studying emotions recognition from the speech and face of users with NDD. Conversational  agents could integrate this technology, adapt the dialogues in real-time based on emotion  analysis results, and obtain emotional feedback on the user experience. Improving the user  experience means improving conversational agents’ usability, engagement, and therapeutic effectiveness for NDD therapy and thus establishing them as a valid solution in this domain."                                                                                                                                                                                           </t>
  </si>
  <si>
    <t xml:space="preserve"> 5) Section 6 (Research agenda), page 30.             </t>
  </si>
  <si>
    <t xml:space="preserve"> 6) Automatic speech recognition systems still perform poorly with users with speech disabilities, causing frustration and reducing the usefulness of agents in therapeutic settings.</t>
  </si>
  <si>
    <t xml:space="preserve">                                                                                                                                                                                             
6) "Future research should address some technological weaknesses, including voice recognition issues considering more severe speech impairments cases." </t>
  </si>
  <si>
    <t xml:space="preserve"> 6) Section 6 (Research agenda), page 30.</t>
  </si>
  <si>
    <t xml:space="preserve">1) Challenges of integration and development of bots and conversational agents in real environments.     </t>
  </si>
  <si>
    <t xml:space="preserve">1) "A common finding is that, despite their potential, bots, especially with Generative AI and Large Language Models, present development and integration challenges."                                                                                                                                    </t>
  </si>
  <si>
    <t xml:space="preserve">1) Section 1 (Introduction), page 2.      </t>
  </si>
  <si>
    <t xml:space="preserve">
2) User interaction problems. Conversational agents face interruptions, noise in the communication channel, and difficulties in maintaining interactions.</t>
  </si>
  <si>
    <t xml:space="preserve">2) " Moreover, we found that these systems often encounter various issues that hinder their adoption, with interaction problems—such as interruptions and noise—emerging as particularly critical"                                                                                              </t>
  </si>
  <si>
    <t xml:space="preserve"> 2) Section 1 (Introduction), end of page 2.       </t>
  </si>
  <si>
    <t xml:space="preserve"> 
 3) Lack of standardized practices for the development of conversational agents.                          </t>
  </si>
  <si>
    <t xml:space="preserve"> 3)  "According to Lewandowski et al. [136], the lack of analys is on these aspects may hinder the broader adoption of CAs in the industry."</t>
  </si>
  <si>
    <t xml:space="preserve">3) Section 2 (Background and related work), page 3. </t>
  </si>
  <si>
    <t xml:space="preserve"> 4) There is a gap between the practical development of conversational agents and academic research, which results in little information on technological evolution in formal studies.</t>
  </si>
  <si>
    <t>4) " Moreover, bot technology advances primarily on the practitioner side rather than the research side, thus leading to a fast evolution of  technology that is difficult to capture by research studies alone, often requiring slow publication times to facilitate systematic review and process"</t>
  </si>
  <si>
    <t xml:space="preserve"> 4) Section 3.1.1 (Initiation phase), page 5.  </t>
  </si>
  <si>
    <t xml:space="preserve"> 
 5) Lack of consensus on the measurement of results in the formal literature.</t>
  </si>
  <si>
    <t xml:space="preserve">5) " Regarding the second question (  Is there a lack of volume or quality of evidence or a lack of consensus of outcome
 measurement in the formal literature? ), since the topic of bots in SE (Software Engineering) is young, there is not enough literature to determine the presence of a lack of consensus. Nevertheless, the novelty of the topic further poses the
 need to conduct studies involving the GL (Gray Literature) as well." </t>
  </si>
  <si>
    <t xml:space="preserve"> (5) Section 3.1.1 (Initiation phase), page 6.</t>
  </si>
  <si>
    <t xml:space="preserve">1) Bias can exist if the training of human-based dialogue systems is not controlled. This is due to unbalanced data, stereotypes and errors that hinder transparency.                  </t>
  </si>
  <si>
    <t xml:space="preserve">1) "CAiRE [104] notes the scarcity and imbalance of data in crucial areas such as emotion recognition and empathetic response generation. This lack of a diverse dataset … hinders the chatbot’s ability to accurately perceive and interpret human emotions… Consequently, the sparsity of data leads to a practical challenge that … allows the dialog to perpetuate stereotypes against target sub-populations"  "Authors in [106] highlight … errors, once introduced … are not simply passed along … but also amplified. This escalation of errors … impeding effective rectification and refinement … can cause a system to lack transparency and truthfulness."                                                                                                                                                                                           </t>
  </si>
  <si>
    <t xml:space="preserve">(1) Section 5.1 (Bias), p. 22.               </t>
  </si>
  <si>
    <t xml:space="preserve">[104] Zhaojiang Lin, Peng Xu, et al. 2020. Caire: An end-to-end empathetic chatbot. In Proceedings of the 34th AAAI conference on artiicial intelligence, Vol. 34. 13622-13623. [106] Bing Liu, Gokhan Tur, et al. 2018. Dialogue learning with human teaching and feedback in end-to-end trainable task-oriented dialogue
 systems. (June 2018), 2060-2069.                                  </t>
  </si>
  <si>
    <t xml:space="preserve">2) Difficulty expanding or reproducing systems. Dependence on human intervention creates bottlenecks. </t>
  </si>
  <si>
    <t xml:space="preserve">                                                                                                                                                                                           2) "Scaling up human-centered dialogue systems … presents a significant challenge, primarily due to the inherent limitations … owing to the reliance on human experts or operators… interactive dialog systems require humans to provide feedback continuously… which increases resource demands and poses consistency issues… As the system expands, the need for human input creates a bottleneck… limiting rapid development and widespread deployment." </t>
  </si>
  <si>
    <t xml:space="preserve">  (2) Section 5.2 (Restricted Scalability), p. 23.  </t>
  </si>
  <si>
    <t xml:space="preserve"> 3) Risk of inadvertent leakage of personal data through extraction on pre-trained models. Users fear for their privacy. Lack of anthropomorphic characteristics such as intelligence or empathy that limits the creation of trust between the user and the system.   </t>
  </si>
  <si>
    <t xml:space="preserve"> 3) "a large amount of data is required even for every single user. This brings in concerns regarding trust and privacy. Authors in [17] demonstrated how a potential attacker may retrieve particular training examples… names, phone numbers, emails… Although progress has been made … trust towards chatbots remains a strong social challenge… distrust … becomes more salient when it comes down to people’s concerns over privacy… Other factors … insufficient anthropomorphism … lack of language abilities, intelligence … emotions, and personalities."                                                                                                        </t>
  </si>
  <si>
    <t xml:space="preserve"> (3) Section 5.3 (Data Security, Privacity and Trust), p. 23.                                                                                    </t>
  </si>
  <si>
    <t>[17] Nicholas Carlini, Florian Tramer, et al. 2021. Extracting training data from large language models. In Proceedings of the 30th USENIX Security Symposium. 2633 - 2650.</t>
  </si>
  <si>
    <t>4) "there is an open challenge in identifying and utilizing the appropriate set of metrics for different stakeholders… Since no metric is ubiquitous, identifying the appropriate metric is crucial for getting useful feedback… Defining appropriate evaluation metrics for human-centered dialog systems is still an evolving area, and existing benchmarks may not fully capture the nuances of natural, interactive conversations."</t>
  </si>
  <si>
    <t>4) Section 5.4 (Lack of Suitable Metrics), page 24.</t>
  </si>
  <si>
    <t xml:space="preserve">4) Lack of metrics to evaluate human-centered dialogue systems. The metrics currently used don't meet user expectations or the nuances of natural conversations.                                                                                                                                              </t>
  </si>
  <si>
    <t>5) Lack of standardized ethical guidelines</t>
  </si>
  <si>
    <t>5) "there is a lack of standard guidelines and uniform practices to be adopted by practitioners and organizations… collaborations… present trade-off challenges between machine automation and human control… making personalized chatbots… can spark many ethical issues… Lastly, the adoption of such practices and standards in the scope of governance across organizations is scarce"</t>
  </si>
  <si>
    <t>5) Section 5.5 (Lack of Standard Ethical Guidelines), page 24.</t>
  </si>
  <si>
    <t xml:space="preserve">1) Lack of agreement regarding terminology (conversational agent and chatbot) and ambiguous terminology.                                                                                                                                             </t>
  </si>
  <si>
    <t xml:space="preserve">1) "The surveyed publications show a lack of dedicated discussion concerning terminology, and there is no taxonomy of reference which is generally used by researchers. While conversational agent and chatbot are the most common terms, it is not clear that there is an evident difference between these concepts."      ". In fact, Syvänen and Valentini [159] demonstrate that terms like chatbot, virtual assistant, agent, conversational bot or even robot are used without an explicit definition in the majority of studies."                                                                                                                                                                                                      </t>
  </si>
  <si>
    <t xml:space="preserve">(1) Section 3.1 (Terminology (F1)), p. 8. </t>
  </si>
  <si>
    <t>[159] Salla Syvänen and Chiara Valentini. 2020. Conversational agents in online organization–stakeholder interactions: a
 state-of-the-art analysis and implications for further research. Int. J. Inf. Commun. Technol. Educ. 24, 4 (Jan. 2020).</t>
  </si>
  <si>
    <t>2) Methodological limitations, since secondary studies that do not cover aspects such as development methodology, design, and other data that could be relevant were reviewed.</t>
  </si>
  <si>
    <t>2) " Consequently, several literature reviews and surveys have been conducted in recent years [73, 88], with an especial emphasis on the implications of the latest innovations from a technical perspective [7, 39]. Nevertheless, these secondary studies are typically limited in terms of context or domain of application [53], focus of research field [120] or even research method [6]. To the best of our knowledge, no literature review in the field of conversational agents addresses all the research dimensions involved in this field."</t>
  </si>
  <si>
    <t>2) Section 1 (Introduction), page 2.</t>
  </si>
  <si>
    <t xml:space="preserve">[6] N. S. Ahmad, M. H. Sanusi, M. H. Abd Wahab, A. Mustapha, Z. A. Sayadi, and M. Z. Saringat. 2018. Conversational Bot for Pharmacy: A Natural Language Approach. In 2018 IEEE Conference on Open Systems (ICOS).                                                                         [7] Nahdatul Akma, Mohamad Hafiz, Azaliza Zainal, Muhammad Fairuz Abd Rauf, and Zuraidy Adnan. 2018. Review of Chatbots Design Techniques. International Journal of Computer Applications (2018).                                     [39] R. Dsouza, S. Sahu, R. Patil, and D. R. Kalbande. 2019. Chat with Bots Intelligently: A Critical Review Analysis. In 2019 International Conference on Advances in Computing, Communication and Control (ICAC3).                                                                     [53] Tobias Gentner, Timon Neitzel, Jacob Schulze, and Ricardo Buettner. 2020. A Systematic Literature Review of Medical Chatbot Research from a Behavior Change Perspective.                                                                [73] Shafquat Hussain, Omid Ameri Sianaki, and Nedal Ababneh. 2019. A Survey on Conversational Agents/Chatbots Classification and Design Techniques. In Web, Artificial Intelligence and Network Applications.                 [88] Robin Knote, Andreas Janson, Laura Eigenbrod, and Matthias Söllner. 2018. The What and How of Smart Personal Assistants: Principles and Application Domains for IS Research, In Multikonferenz Wirtschaftsinformatik (MKWI). Multikonferenz Wirtschaftsinformatik (MKWI). http://www.alexandria.unisg.ch/252796/ [120] Kulothunkan Palasundram, Nurfadhlina Mohd Sharef, Khairul Azhar Kasmiran, and Azreen Azman. 2020. Enhancements to the Sequence-to-Sequence-Based Natural Answer Generation Models. IEEE Access 8 (2020).  </t>
  </si>
  <si>
    <t xml:space="preserve">An assurance is a property or behavior that influences the level of confidence that the user places in an autonomous agent to act appropriately.
1) Informal design of the guarantees.                                                                                                      </t>
  </si>
  <si>
    <t xml:space="preserve">1) "In this atmosphere, the practice of designing assurances with  little formal understanding is no longer viable; in short: the existing informal approach to assurance design is no longer sufficient due to the new challenges that advanced intelligent systems introduce."                                                                                                                                                                                               </t>
  </si>
  <si>
    <t xml:space="preserve">1) Section 2 (Motivation and background), page 3.           </t>
  </si>
  <si>
    <t xml:space="preserve">An assurance is a property or behavior that influences the level of confidence that the user places in an autonomous agent to act appropriately.                                                                                                        2) It is difficult to understand and predict the operation of advanced systems.                                   </t>
  </si>
  <si>
    <t xml:space="preserve">                                                                                                                                                                                              2) "  The need for designed assurances has grown considerably in recent years, as the advanced capabilities of intelligent sys
tems have become more difficult to comprehend and predict [34, 50, 86, 142]. Advanced intelligent systems share capabilities with less-advanced counterparts, but generally possess much more delegated responsibility, autonomous functionality, are employed in more uncertain environments, and are operated by a wider demographic of users with different levels of understanding and technical skills." </t>
  </si>
  <si>
    <t xml:space="preserve"> 2) Section 2 (Motivation and background), page 3.                   </t>
  </si>
  <si>
    <t>[34] Finale Doshi-Velez and Been Kim. 2017. Towards a rigorous science of interpretable machine learning. (Feb. 2017). arxiv:stat.ML/1702.08608.                           [50] David Gunning. 2017. Explainable artificial intelligence (XAI). Defense Advanced Research Projects Agency (DARPA), n.d. Web (2017).                     
 [86] Zachary C. Lipton. 2016. The mythos of model interpretability. (June 2016). arxiv:cs. LG/1606.03490 
[142] Adrian Weller. 2017. Challenges for transparency. (July 2017). arxiv:cs.CY/1708.01870.</t>
  </si>
  <si>
    <t>An assurance is a property or behavior that influences the level of confidence that the user places in an autonomous agent to act appropriately.                                            3) There is a gap between trust models and the actual behavior of systems.</t>
  </si>
  <si>
    <t xml:space="preserve"> 3) "Other fields that have explored assurance design only provide an informal connection to trust and applications to other disciplines, so it is unknown how effective their developed assurances might be in practice, or what principles ought to be considered for other kinds of autonomous and artificially intelligent systems"                                                                                  </t>
  </si>
  <si>
    <t>3) Section 2 (Motivation and background), page 4.</t>
  </si>
  <si>
    <t xml:space="preserve">1) Lack of transparency in how chatbots work or make decisions, since some work as black boxes, using undisclosed training data. This limits user confidence, especially in sensitive sectors such as health, finance, among others.                           </t>
  </si>
  <si>
    <t xml:space="preserve">1) "Chatbots, primarily those using LLMs, are seen as black box models… The lack of transparency might result in several concerns… training data… often need to be disclosed or verified."                                                                                                                                </t>
  </si>
  <si>
    <t xml:space="preserve">(1) Section 6.1.1 (Transparency), p. 25.           </t>
  </si>
  <si>
    <t>2) There are biases that cause unfair responses, lack of cultural sensitivity, understanding of a single language and restrictions of functionalities according to an access payment.</t>
  </si>
  <si>
    <t xml:space="preserve">2) "Bias in data can lead to unfair or biased responses… most chatbots are designed in English… restrict access… paid access to premium chatbots… increase the gap..."   </t>
  </si>
  <si>
    <t xml:space="preserve"> (2) Section 6.1.2 (Fairness), p. 25.          </t>
  </si>
  <si>
    <t xml:space="preserve"> 3) Privacy risks due to the collection and handling of personal or sensitive data. Possibility of filtering, improper use or unauthorized access.                                                                                   </t>
  </si>
  <si>
    <t xml:space="preserve"> 3) "Privacy issues… critical due to personal and sensitive data collection… risks of breaches, unauthorized access, and misuse…"                                                                                                                                                                                                                                                                         </t>
  </si>
  <si>
    <t xml:space="preserve">3) Section 6.1.3 (Privacy), page 28.                        </t>
  </si>
  <si>
    <t>4) Difficulty in determining who is responsible if the chatbot gives incorrect information, biased suggestions, or mishandles sensitive data.</t>
  </si>
  <si>
    <t xml:space="preserve">4) " Accountability… it is essential to determine who is responsible… can be challenging to specify responsibility " </t>
  </si>
  <si>
    <t xml:space="preserve"> 4) Section 6.1.4 (Accountability), page 28. </t>
  </si>
  <si>
    <t xml:space="preserve"> 5) Chatbots generate biased or invented responses (hallucination), which compromise reliability and accuracy.                                                                                                                                 </t>
  </si>
  <si>
    <t xml:space="preserve">5) " Bias and hallucination… can negatively affect… quality, fairness, and accuracy… Hallucination… generate inaccurate, misleading, or entirely faked responses…" </t>
  </si>
  <si>
    <t>5) Section 6.2 (Bias and hallucination), page 28.</t>
  </si>
  <si>
    <t xml:space="preserve"> 6) Integration of text, voice, images and video to improve the user experience.</t>
  </si>
  <si>
    <t xml:space="preserve"> 6)" Chatbots’ future will widely adopt multimodal capabilities… improvements in AI, including speech recognition, computer vision, and NLP…"</t>
  </si>
  <si>
    <t xml:space="preserve"> 6) Section 7.1 (Multimodal Chatbots), page 29.</t>
  </si>
  <si>
    <t xml:space="preserve">1) The field of personality-adaptive chatbots is still at an early stage of development and there is a need to improve existing personality adaptation approaches.                                                                                             </t>
  </si>
  <si>
    <t xml:space="preserve">1) "...the field of personality-adaptive chatbots is still in its early stages of development and requires further exploration. Recognizing the need to enhance existing personality adaptation approaches, it is crucial to investigate additional directions for future study, as this is a challenging and complex issue that demands thorough examination."                                                                  </t>
  </si>
  <si>
    <t xml:space="preserve">(1) Section 1 (Introduction), page 2. </t>
  </si>
  <si>
    <t xml:space="preserve"> 2) Challenge of generating responses similar to human ones and adaptable to the personalities of the users.   </t>
  </si>
  <si>
    <t xml:space="preserve">2) " However, a key challenge lies in developing chatbots that can generate human-like replies adaptable to users’ personalities."                                                                                                                                                                                    </t>
  </si>
  <si>
    <t xml:space="preserve"> 2) Abstract, page 1.</t>
  </si>
  <si>
    <t>3) Difficulties in acquiring and representing personality traits.</t>
  </si>
  <si>
    <t>3) "Highlighting the challenges associated with designing and implementing personality-adaptive chatbots (PACs): the review sheds light on the inherent challenges involved in the design and implementation of  personality-adaptive chatbots. It explores issues such as acquiring and representing personality information and adapting responses based on personality traits. "</t>
  </si>
  <si>
    <t>3) Section 1 (Introduction), page 2.</t>
  </si>
  <si>
    <t xml:space="preserve"> 4) There is a lack of objective and homogeneous metrics to evaluate the degree and quality of personality adaptation, complementing or replacing satisfaction surveys. </t>
  </si>
  <si>
    <t xml:space="preserve"> 4) "  According to the findings, there are no standard measures available to evaluate a personality-adaptive chatbot performance. The majority of the metrics presented are utilized in normal chatbot evaluations."</t>
  </si>
  <si>
    <t xml:space="preserve"> 5) Existence of overhead in personality adaptation algorithms in chatbots.</t>
  </si>
  <si>
    <t>5)  "Challenge 3: algorithmic overhead in personality adaptive chatbots. The significant overhead of algorithms used in personality-adaptive chatbots poses a challenge for real-time response generation. These chatbots rely on complex machine learning models and deep learning techniques to understand and adapt to user personalities, resulting in increased processing time. "</t>
  </si>
  <si>
    <t xml:space="preserve">  5) Section (What are the metrics used to assess personality-adaptive chatbots), page 21.</t>
  </si>
  <si>
    <t xml:space="preserve">4) Section (What are the metrics used to assess personality-adaptive chatbots), page 21.    </t>
  </si>
  <si>
    <t>7) Technical challenges such as lack of adequate data, difficulty in designing dynamic chatbots, chatbot architectures with LLMs still in exploration, and rule-based chatbots with limited support.</t>
  </si>
  <si>
    <t xml:space="preserve"> 7) " Inadequate data training… lacking dynamic responses… increase in the number of participants exacerbates… absence of audio cues… choice of architecture… simple rule-based polyadic chatbots… suffer from limited content support…"</t>
  </si>
  <si>
    <t xml:space="preserve"> 7) Section 6.8.1 (Technical/programming challenges), page 42.</t>
  </si>
  <si>
    <t xml:space="preserve"> 6) Ethical aspects, such as concern about privacy, transparency, and control. Lack of clear privacy policies. The challenge is to design chatbots that convey trust.                                                            </t>
  </si>
  <si>
    <t xml:space="preserve"> 6) " Ensuring privacy and transparency… raises ethical questions about consent, privacy, and control… privacy and trust are crucial… designing a chatbot with trustworthy cues… lack of formal privacy policies"                                               </t>
  </si>
  <si>
    <t xml:space="preserve"> 6) Section 6.8 (Ethical issues and concerns), page 40</t>
  </si>
  <si>
    <t xml:space="preserve"> 5) Usability problems, e.g., difficulties in personalizing the group, responses not adapted to real priorities, speaker recognition errors, latency, lack of emotional regulation in large groups.                                                                                                                                                  </t>
  </si>
  <si>
    <t xml:space="preserve"> 5) " Meeting individual user preferences… chatbot overly fixated on time management… inability to accommodate more participants… lack of emotion regulation… response latency, and speaker recognition errors…"                                                                              </t>
  </si>
  <si>
    <t xml:space="preserve"> 5) Section 6.7.3 (Usability issues), page 40.                                                                     </t>
  </si>
  <si>
    <t xml:space="preserve"> 4) Lack of user acceptance and trust due to negative interactions such as interrupted flow, very strong opinions, lack of realism, and lack of empathy.                                                                      </t>
  </si>
  <si>
    <t xml:space="preserve">4) " Negative experiences… disruption of the flow… being overly talkative… micromanaging and being intrusive… lack of realism and empathy… may lead to reluctance…" </t>
  </si>
  <si>
    <t xml:space="preserve"> 4) Section 6.7.2 (Lack of user acceptance and trust), page 40.                                                                                                 </t>
  </si>
  <si>
    <t xml:space="preserve">3) Limited ability to solve problems, as they offer generic, boring, and simple answers. There is no capacity to handle complex questions or to retrieve conversations after a failure.                                                                                                                                   </t>
  </si>
  <si>
    <t xml:space="preserve">3) " polyadic chatbots are incapable of dealing with certain questions appropriately, with generic, boring, repetitive… only very simplistic responses… lacked qualitative content support… encountered loops…"                                                                                                                   </t>
  </si>
  <si>
    <t xml:space="preserve">3) Section 6.7.1 (Limited problem-solving ability), p. 40.                                                                                       </t>
  </si>
  <si>
    <t xml:space="preserve">2) Designs without a clear link to the user's needs or previous designs.                          </t>
  </si>
  <si>
    <t xml:space="preserve">2) "  Concerning the design approaches to polyadic chatbots, Zheng et al. [170] found that among the papers specifying their design methods, some were framework-based, with most features proposed by researchers often not leveraging prior designs or specific user needs."                                                                                                                                                                                                </t>
  </si>
  <si>
    <t xml:space="preserve">  2) Section 3 (Related work), page 5.                                                </t>
  </si>
  <si>
    <t xml:space="preserve">1) Limited problem-solving ability, limited user acceptance, and technological limitations.                                                                                                                    </t>
  </si>
  <si>
    <t xml:space="preserve">1) "  Experimentation is the key approach for testing these chatbots, demonstrating their efficiency in various tasks while also identifying drawbacks such as limited problem-solving ability, user acceptance,and technological limits." </t>
  </si>
  <si>
    <t xml:space="preserve">1) Abstract, page 1.          </t>
  </si>
  <si>
    <t xml:space="preserve"> 4) Data quality dependence.</t>
  </si>
  <si>
    <t>4) " On the other hand, all chatbots operate on data, which can come from multiple sources. If the data quality is good, the chatbot will be data-driven [91]. Conversely, if the data quality is poor, the chatbot’s capabilities are limited. In addition, even if the data quality is favorable, chatbots can be disappointing, or at least not as good as expected, if they lack appropriate ML training models or oversight."</t>
  </si>
  <si>
    <t>4) Section 1 (Introduction), page 2.</t>
  </si>
  <si>
    <t xml:space="preserve">   [91] Qian H, Li X, Zhong H, Guo Y, Ma Y, Zhu Y, Liu Z, Dou Z, Wen J-R (2021) Pchatbot: a large-scale dataset for personalized chatbot. In: Proceedings of the 44th international ACM SIGIR conference on research and development in information retrieval, pp 2470–2477.</t>
  </si>
  <si>
    <t xml:space="preserve">   
3) Limitations of current algorithms to solve problems in real time and difficulty in fully understanding the human conversational system.                                                
</t>
  </si>
  <si>
    <t xml:space="preserve">                                                                                                                                                                                                        3)  "However, existing algorithms can’t solve all the customer’s problems in real time. Even with the most advanced technology, it is difficult to fully understand the human conversational system, which means chatbots can’t replace real human interaction (Mahere et al., n.d.)"                                                                                                                                                                                                </t>
  </si>
  <si>
    <t xml:space="preserve">  3) Section 1 (Introduction), page 2.                                   </t>
  </si>
  <si>
    <t xml:space="preserve">2) Chatbots have an inability to handle complex problems with multiple variables.       
</t>
  </si>
  <si>
    <t xml:space="preserve">2) Chatbots are currently unable to effectively answer or solve many problems, such as complex service problems with many variables [83]"                                                                                                                                                                                                        </t>
  </si>
  <si>
    <t xml:space="preserve"> 2) Section 1 (Introduction), page 2.                                </t>
  </si>
  <si>
    <t xml:space="preserve">[83] Nguyen TT, Le AD, Hoang HT, Nguyen T (2021) NEU-chatbot: chatbot for admission of national economics university. Comput Educ Artif Intell 2:100036 [115] Xu B, Zhuang Z (2022) Survey on psychotherapy chatbots. Concurr Comput: Pract Exp 34:e6170 (Mahere et al., n.d.)  Mahere D, MeenaH, KhanIA, Shrivastava S (n.d.) Chatbot technology and its impact on customer service.                                                 </t>
  </si>
  <si>
    <t xml:space="preserve">1) Overload in chatbots when assigned complex tasks or excessive requests resulting in negative consequences for the user and their "businesses" or activities.                     </t>
  </si>
  <si>
    <t xml:space="preserve">1) " However, when incoming requests are overwhelmed or tasks become too complex, chatbots can become overwhelmed and unable to respond effectively, resulting in negative consequences for businesses and customers [115].                                                                            </t>
  </si>
  <si>
    <t xml:space="preserve">(1) Section 1 (Introduction), page 2.               </t>
  </si>
  <si>
    <t xml:space="preserve">1) Difficulty in obtaining and preserving datasets associated with closed domains.  </t>
  </si>
  <si>
    <t xml:space="preserve">1) "... datasets associated with closed domains are still difficult to obtain and curate,.."                                                                            </t>
  </si>
  <si>
    <t xml:space="preserve">1) Abstract, page 1.  </t>
  </si>
  <si>
    <t xml:space="preserve">2) Universities have not yet realized the potential of implementing chatbots.                                                                                                                                                                                  </t>
  </si>
  <si>
    <t xml:space="preserve">2) "...universities unlike other sectors, have not yet realised the potential for chatbot implementation."  </t>
  </si>
  <si>
    <t xml:space="preserve"> 2) Abstract, page 1.               </t>
  </si>
  <si>
    <t xml:space="preserve"> 3) " One of the main findings from the review is the small amount of training data in evidence across implementations. In 
only one of the implementations did the test data size exceed 5,000 pairs of question answers—and this was for a spe
cific AIML rule-based solution. The difficulty of having access to training data is noted by Ezen-Can [83]..."                              </t>
  </si>
  <si>
    <t xml:space="preserve"> 3) Section 4.1 (Small datasets), page 17.      </t>
  </si>
  <si>
    <t xml:space="preserve">[83] Ezen-Can A. A comparison of LSTM and BERT for small corpus. arXiv. 2020. https://doi.org/10.48550/arXiv.2009.05451   </t>
  </si>
  <si>
    <t xml:space="preserve"> 3) Limited size of datasets, in most cases the size of the dataset does not exceed 5000 pairs of questions and answers, which makes it difficult to develop robust models.  </t>
  </si>
  <si>
    <t xml:space="preserve"> 4) Absence of generative solutions, predominance of retrieval or turnkey solutions.  </t>
  </si>
  <si>
    <t xml:space="preserve"> 4) "As mentioned previously, there are several companies providing turnkey question answering solutions in the university 
sector. One could conclude that conventional question answering or retrieval chatbots might still be the norm in the 
sector despite the advancements of generative based solutions..."                                                                                                                              </t>
  </si>
  <si>
    <t xml:space="preserve">4) Section 4.2 (Absence of working generative solutions in university sector), p. 18.   </t>
  </si>
  <si>
    <t xml:space="preserve"> 5) Non-technical reasons such as cost, and ease of implementation when selecting models.   </t>
  </si>
  <si>
    <t xml:space="preserve"> 5) "  Of the implementations reviewed only Alias et al. [52] suggested the creation of a new original approach for a model because of the high costs associated with the utilisation of a chatbot platform from companies ... However, this implementation does not appear to be a usable chatbot for university but..."                                                                                                                                        </t>
  </si>
  <si>
    <t xml:space="preserve"> 5) Section 4.4 (Non-technical rationale for model selection) page 18.                                                             </t>
  </si>
  <si>
    <t xml:space="preserve">
[52] Alias S et al. Intent pattern discovery for academic chatbot—a comparison between n-gram model and frequent pattern-growth method. in 2019 IEEE 6th International Conference on Engineering Technologies and Applied Sciences (ICETAS). 2019.</t>
  </si>
  <si>
    <t xml:space="preserve"> 6) Constant evolution of LLMs, frameworks (LangChain, AutoGen, CrewAI) and techniques (RAG, prompt engineering) demands continuous updating for developers.</t>
  </si>
  <si>
    <t>6) "  Finally, it is also worth noting the importance of the development frameworks and techniques associated with LLMs 
that continue to evolve at a very fast rate. This includes LangChain with its support for RAG and synthetic data genera
tion, as well as prompt engineering techniques. Ensemble techniques [92]—the process of combining multiple models 
to achieve better results, and frameworks for orchestrating complex AI tasks such as AutoGen13 and CrewAI14—while not 
mentioned specifically in the literature for university chatbots may also be worthy of further exploration and investigation.</t>
  </si>
  <si>
    <t>(6) Section 6 (Conclusions and future perspective), p. 18.</t>
  </si>
  <si>
    <t xml:space="preserve">1) Use of self-report questionnaires, which limits the technical validation of the impact of chatbots on students.  </t>
  </si>
  <si>
    <t>1) " Quantitative research, with self-report questionnaires, was the primary method, with four longitudinal studies. "</t>
  </si>
  <si>
    <t>1) Abstract, page 1.</t>
  </si>
  <si>
    <t xml:space="preserve"> 2) Mixed results on the actual impact on the student's motivation to use the chatbot. This can make it difficult to design effective conversational strategies.                                                     </t>
  </si>
  <si>
    <t xml:space="preserve">
2) " Previous research scrutinizing chatbots and motivation, using motivation as a measure of student learning outcomes, showed that the relationship between chatbots and student motivation is somewhat ambiguous. Several studies have revealed that chatbots can improve students’ learning motivation..."                   </t>
  </si>
  <si>
    <t>2) Chatbots and learning motivation, page 4</t>
  </si>
  <si>
    <t xml:space="preserve"> 3) In this study, emphasis is placed on student motivation, and they observed that the evaluations are inconclusive in the studies they analyzed. The effects of chatbot use are not sufficiently documented to model prolonged motivational change.      </t>
  </si>
  <si>
    <t xml:space="preserve">3) "  Several longitudinal studies have found that there were no significant differences between students who use chatbots and those who did not use them in terms of their interest (Fryer et al., 2019) and confidence (Han et al., 2022). These mixed results emphasize the need for comprehensive exploration of how chatbots shape student motivation." </t>
  </si>
  <si>
    <t xml:space="preserve">3) Chatbots and learning motivation, page 4. </t>
  </si>
  <si>
    <t xml:space="preserve"> 4) Chatbots have limited capacity compared to the pedagogical results of human feedback.</t>
  </si>
  <si>
    <t>4) " . Chatbots generally outperformed non-chatbot conditions but lagged interventions involving human feedback or pedagogical approaches."</t>
  </si>
  <si>
    <t xml:space="preserve"> 4) Abstract, page 1.                                                  </t>
  </si>
  <si>
    <t xml:space="preserve"> 5) Generative model capabilities are not yet integrated into chatbots. Generative AI arises as an opportunity to explore what can improve the personalization or adaptability of chatbots.</t>
  </si>
  <si>
    <t>5) " The advanced capabilities of GenAI chatbots and newer models show promising adaptability to individual learning styles and preferences, a dimension that  has not been sufficiently explored in the existing literature... "</t>
  </si>
  <si>
    <t>5) Chatbots and learning motivation, page 4.</t>
  </si>
  <si>
    <t xml:space="preserve">1) Some systems use metrics that understand language but not medical concepts. This makes it impossible to evaluate the clinical value of the use of chatbos.                                                                                  </t>
  </si>
  <si>
    <t xml:space="preserve">1) "Existing evaluation metrics proposed for various generic large language models (LLMs) demonstrate a lack of comprehension regarding medical and health concepts and their significance in promoting patients’ well-being."    </t>
  </si>
  <si>
    <t xml:space="preserve">1) Abstract, page 1. </t>
  </si>
  <si>
    <t xml:space="preserve"> 2) Lack of specific unified metrics to evaluate chatbots in the health area, which complicates comparing models or improving results.      </t>
  </si>
  <si>
    <t xml:space="preserve">2) "First, it is observed that numerous existing generic metrics suffer from a lack of unified and standard definition and consensus regarding their appropriateness for evaluating healthcare chatbots...thereby limiting their effectiveness in evaluating healthcare chatbots." </t>
  </si>
  <si>
    <t xml:space="preserve"> 2) Introduction, page 2.  </t>
  </si>
  <si>
    <t xml:space="preserve"> 3) Use of general metrics for evaluating LLMs such as BLEU and ROUGE, which evaluate the form of the text, but not its meaning, which can lead to "nice" but incorrect answers.     </t>
  </si>
  <si>
    <t xml:space="preserve">3) " Currently, state-of-the art conversational models are predominantly assessed and compared based on language-specific perspectives and surface-form similarity using  intrinsic metrics such as Bilingual Evaluation Understudy (BLEU) and
 Recall-oriented Understudy for Gisting Evaluation (ROUGE).Although these metrics are model-based, they lack an understanding of medical concepts (e.g., symptoms, diagnostic tests, diagnoses, and treatments), their interplay, and the priority for the well-being of the patient, all of which are crucial for medical decision-making."   </t>
  </si>
  <si>
    <t xml:space="preserve"> 3) Introduction, page 2.   </t>
  </si>
  <si>
    <t xml:space="preserve">4) Evaluation metrics pay little attention to user-centered elements in the healthcare setting, such as trust building, personalization, empathy, ethics, and emotional support.           </t>
  </si>
  <si>
    <t xml:space="preserve"> 4) " Moreover, these metrics neglect pivotal user-centered aspects, including trust-building, ethics, personalization, empathy, user comprehension, and emotional support."   </t>
  </si>
  <si>
    <t xml:space="preserve">4) Abstract, page 1.                               </t>
  </si>
  <si>
    <t xml:space="preserve"> 5) There is a lack of addressing indispensable, multifaceted and user-centered evaluation metrics to comprehensively evaluate healthcare chatbots, for example, it is not evaluated if the chatbot reasons correctly, if it has updated information, if it "invents" medical responses (called hallucinations) and its latency.</t>
  </si>
  <si>
    <t>5) "  Despite these contributions, it is evident that these studies have yet to fully encompass the indispensable,multifaceted, and user-centered evaluation metrics necessary to appraise healthcare chatbots comprehensively. For example, these studies unable to assess chatbots in terms of empathy, reasoning, up-to-dateness, hallucinations, personalization, relevance, and
 latency."</t>
  </si>
  <si>
    <t xml:space="preserve"> 5) Multi-metric measurements, page 3.</t>
  </si>
  <si>
    <t>1) As the number of agents increases, challenges of communication, coordination and greater computational complexity appear</t>
  </si>
  <si>
    <t>1) " ...computational burden will increase with the large number of deployed AI agents, calling for better architectural design and computational optimization to ensure the smooth running of the entire system. For example, as the number of agents increases, the challenges of communication and message propagation become quite formidable."</t>
  </si>
  <si>
    <t>1) Section 6.5 (Scaling up the numbre of agents), page 30.</t>
  </si>
  <si>
    <t>2) Need for agents to have flexible learning capabilities to adapt to ambiguous instructions and changing contexts.</t>
  </si>
  <si>
    <t>2) " ...Also, the agent needs to have enhanced environmental adaptability. ...understand and reason about ambiguous instructions...possess the ability to learn and apply new skills flexibly"</t>
  </si>
  <si>
    <t xml:space="preserve">
(2) Section 6.6 (Open problems), page 30.</t>
  </si>
  <si>
    <t>1) Lack of robust evidence on the diagnostic effectiveness of the use of chatbots in mental health.</t>
  </si>
  <si>
    <t>1) "  Using chatbots for diagnostic and screening purposes has been applied in mood, anxiety, substance abuse, and post-traumatic stress disorders, [36] but robust evidence on their effectiveness is limited."</t>
  </si>
  <si>
    <t xml:space="preserve">1) Chatbots, page 3.                                         </t>
  </si>
  <si>
    <t xml:space="preserve">
[36] Boucher EM, Harake NR, Ward HE, Stoeckl SE, Vargas J, Minkel J, et al. Artificially intelligent chatbots in digital mental health interventions: a review. Expert Rev Med Devices. 2021; 18:37–49. https://doi.org/10.1080/17434440.2021.2013200.</t>
  </si>
  <si>
    <t xml:space="preserve">2) Chatbots are at risk of having clinical errors in complex cases.                         </t>
  </si>
  <si>
    <t xml:space="preserve">
2) "... chatbots like ChatGPT [7], although some assert that LLMs like these  are not ready for use in psychiatry because they can generate errors that can be potentially harmful when analyzing more complex clinical case studies [38]." </t>
  </si>
  <si>
    <t xml:space="preserve">                                    
2) Chatbots, page 3.</t>
  </si>
  <si>
    <t xml:space="preserve">[7] D'Souza RF, Amanullah S, Mathew M, Surapaneni KM. Appraising the performance of ChatGPT in psychiatry using 100 clinical case vignettes. Asian J Psychiatr. 2023;89:103770. https:// doi. org/10.1016/j.ajp.2023.103770.
[38] Dergaa I, Fekih-Romdhane F, Hallit S, Loch AA, Glenn JM, Fessi MS, et al. ChatGPT is not ready yet for use in providing mental health assessment and interventions. Front Psychiatry. 2024;14:1277756. https://doi.org/10.3389/fpsyt.2023.1277756.
</t>
  </si>
  <si>
    <t xml:space="preserve">3) Some caution should be exercised when interpreting the available evidence for chatbots due to concerns about risk of bias, heterogeneity, lack of long-term follow-up assessments, and user engagement issues.    </t>
  </si>
  <si>
    <t>3) "  The authors concluded that while AI-powered chatbots show promise as a useful low intensity, scalable intervention modality, a degree of caution should be taken when interpreting the available evidence given concerns with risk of bias, high 
heterogeneity, lack of long-term follow-up assessments, and user engagement issues [39].</t>
  </si>
  <si>
    <t>3) Chatbots, page 3.</t>
  </si>
  <si>
    <t xml:space="preserve">
[39] Li H, Zhang R, Lee Y-C, Kraut RE, Mohr DC. Systematic review and meta-analysis of AI-based conversational agents for promoting mental health and well-being. NPJ Digit Med. 2023; 6(1):236. https://doi.org/10.1038/s41746-023-00979-5.</t>
  </si>
  <si>
    <t xml:space="preserve">   
4) There are no clear guidelines or protocols for reporting harm caused by chatbots in mental health clinical studies. 
</t>
  </si>
  <si>
    <t>4) "However, the lack of clear, standardized guidelines for reporting harms in clinical trials of mental health chatbots makes it difficult to quantify the prevalence of adverse events and the degree to which an adverse event is caused by the digital device itself or to other extraneous factors."</t>
  </si>
  <si>
    <t>4) Chatbots, page 4.</t>
  </si>
  <si>
    <t>5) Most studies are preliminary, so it is not yet known whether the systems are really useful in clinical practice.</t>
  </si>
  <si>
    <t>5) "  Now research must move beyond exploration and towards validation to help determine clinical relevance, ideally with larger, more diverse sample sizes, longer follow up periods, and rigorous randomized controlled trials. Such a shift is critical for determining whether these technical innovations can withstand the complexities and demands of real-world psychiatric practices."</t>
  </si>
  <si>
    <t>5) Concluding remarks, page 5.</t>
  </si>
  <si>
    <t>Labadze, L., Grigolia, M. &amp; Machaidze, L.  Role of AI chatbots in education: systematic literature review. Int J Educ Technol High Educ 20, 56 (2023). https://doi.org/10.1186/s41239-023-00426-2</t>
  </si>
  <si>
    <t>Labadze, L., Grigolia, M. &amp; Machaidze, L.  Role of AI chatbots in education: systematic literature review. Int J Educ Technol High Educ 20, 56 (2023). https://doi.org/10.1186/s41239-023-00426-3</t>
  </si>
  <si>
    <t>Labadze, L., Grigolia, M. &amp; Machaidze, L.  Role of AI chatbots in education: systematic literature review. Int J Educ Technol High Educ 20, 56 (2023). https://doi.org/10.1186/s41239-023-00426-4</t>
  </si>
  <si>
    <t>Labadze, L., Grigolia, M. &amp; Machaidze, L.  Role of AI chatbots in education: systematic literature review. Int J Educ Technol High Educ 20, 56 (2023). https://doi.org/10.1186/s41239-023-00426-5</t>
  </si>
  <si>
    <t>Labadze, L., Grigolia, M. &amp; Machaidze, L.  Role of AI chatbots in education: systematic literature review. Int J Educ Technol High Educ 20, 56 (2023). https://doi.org/10.1186/s41239-023-00426-6</t>
  </si>
  <si>
    <t>Labadze, L., Grigolia, M. &amp; Machaidze, L.  Role of AI chatbots in education: systematic literature review. Int J Educ Technol High Educ 20, 56 (2023). https://doi.org/10.1186/s41239-023-00426-7</t>
  </si>
  <si>
    <t>Labadze, L., Grigolia, M. &amp; Machaidze, L.  Role of AI chatbots in education: systematic literature review. Int J Educ Technol High Educ 20, 56 (2023). https://doi.org/10.1186/s41239-023-00426-8</t>
  </si>
  <si>
    <t xml:space="preserve">1) There is not enough data to train educational chatbots. </t>
  </si>
  <si>
    <t>1) "  Developing chatbots faces challenges and limitations, including a lack of adequate training datasets"</t>
  </si>
  <si>
    <t xml:space="preserve">1) Table 1 (Systematic literature reviews on AI Chatbots in Education), page 5. </t>
  </si>
  <si>
    <t xml:space="preserve">2) The implementation of Chatbot technology in education faces challenges such as ethics, evaluation methods, user attitudes, programming complexities, and data integration issues. </t>
  </si>
  <si>
    <t>2) "  Implementing Chatbot technology in education  faces challenges like ethics, evaluation methods, user attitudes, programming complexities, and data integration issues.</t>
  </si>
  <si>
    <t xml:space="preserve">2) Table 1 (Systematic literature reviews on AI Chatbots in Education), page 5.  </t>
  </si>
  <si>
    <t xml:space="preserve">3) Difficulty in incorporating chatbots in education, since it requires the development of high-quality chatbot systems, the use of effective evaluation methods and the resolution of ethical problems associated with their use. </t>
  </si>
  <si>
    <t xml:space="preserve">3) " Incorporating chatbots into education comes with challenges that need to be addressed, including the development of high-quality chatbot systems, the establishment of effective evaluation methods, and the resolution of ethical concerns associated with their use." </t>
  </si>
  <si>
    <t xml:space="preserve">3) Table 1 (Systematic literature reviews on AI Chatbots in Education), page 5. </t>
  </si>
  <si>
    <t xml:space="preserve">4) It is not possible to know if the benefits of educational chatbots are maintained over time (lack of longitudinal studies).   </t>
  </si>
  <si>
    <t>4) "  The existing findings focus on the immediate impact of chatbot usage on learning outcomes. Further research may delve into the enduring impacts of integrating chatbots in education, aiming to assess their sustainability and the persistence of the observed advantages over the long term."</t>
  </si>
  <si>
    <t xml:space="preserve">4) Summary of existing literature reviews, page 7.         </t>
  </si>
  <si>
    <t>5) Most studies only analyze the impact of chatbots without delving into variations based on characteristics of students that may be different such as age, prior knowledge or learning styles. This limits the understanding of its effectiveness for different profiles.</t>
  </si>
  <si>
    <t>5) "  The studies primarily discuss the impact of chatbots on learning outcomes as a whole, without delving into the potential variations based on student characteristics. Investigating how different student groups, such as age, prior knowledge, and learning styles, interact with chatbot technology could provide valuable insights."</t>
  </si>
  <si>
    <t>5) Summary of existing literature reviews, page 7.</t>
  </si>
  <si>
    <t xml:space="preserve">6) Studies tend to focus on results but do not delve into what pedagogical strategies chatbots use to achieve them. This limits the understanding of how positive effects are generated. </t>
  </si>
  <si>
    <t>6) "  Although the studies highlight the enhancements in certain learning components, further investigation could explore the specific pedagogical strategies employed by chatbots to achieve these outcomes. Understanding the underlying mechanisms and instructional approaches utilized by chatbots can guide the development of more effective and targeted educational interventions."</t>
  </si>
  <si>
    <t>6) Summary of existing literature reviews, page 7.</t>
  </si>
  <si>
    <t>7) Few studies examine aspects such as usability, perceived usefulness, satisfaction, and preferences of students and teachers.</t>
  </si>
  <si>
    <t>7) "  While some studies touch upon user attitudes and acceptance, further research can delve deeper into the user experience of interacting with chatbots in educational settings. This includes exploring factors such as usability, perceived usefulness, satisfaction, and preferences of students and teachers when using chatbot technology."</t>
  </si>
  <si>
    <t>7) Summary of existing literature reviews, page 7.</t>
  </si>
  <si>
    <t xml:space="preserve">1) There are ethical concerns for the use of AI in the healthcare sector. The doubts are about the responsibility for the diagnostic errors of the transparency of the decisions made by the system. </t>
  </si>
  <si>
    <t>1) "Ethische Bedenken: Für den Einsatz von KI im Gesundheits wesen müssen ethische Richtlinien entwickelt werden. Dennihre Verwendung wirft Fragen nach der Verantwortung für diagnostische Fehler oder die Transparenz von KI-Entscheidungen auf [40]."</t>
  </si>
  <si>
    <t>1) Herausforderungen der KI, page 4.</t>
  </si>
  <si>
    <t>2) Not all users have access to devices or knowledge to use AI-based programs autonomously.</t>
  </si>
  <si>
    <t>2) "  Implementierungs-Barrieren: Ein weiterer Aspekt ist die Zu gänglichkeit und Akzeptanz von KI-gestützten Programmen. Nicht alle Raucher sind technikaffin oder haben Zugang zu den erforderlichen Geräten und Technologien. Es ist wichtig, sicherzustellen, dass KI-basierte Lösungen inklusiv gestaltet sind und niemanden ausschließen."</t>
  </si>
  <si>
    <t>2) Herausforderungen der KI, page 4.</t>
  </si>
  <si>
    <t>3) There are privacy and data protection challenges since this type of system must strictly comply with security standards when managing personal health data such as medical history or emotions.</t>
  </si>
  <si>
    <t>3) " Datenschutz und Sicherheit: Der Datenschutz ist wohl eine der größten Herausforderungen bei der Nutzung von KI generell, so auch in der Tabakentwöhnung. Die Erhebung und Verarbeitung sensibler Gesundheitsdaten erfordert strenge Sicherheitsmaßnahmen. Die Sicherstellung der Datensicher heit und der Schutz der Privatsphäre sind unerlässlich, um das Vertrauen der Nutzer zu gewinnen und zu erhalten [40]."</t>
  </si>
  <si>
    <t>3) Herausforderungen der KI, p. 4.</t>
  </si>
  <si>
    <t xml:space="preserve">1) Short duration of interventions in the studies, i.e. only short-term effects are evaluated. This implies that you can't know if the benefits of the chatbot are sustainable. </t>
  </si>
  <si>
    <t>1) " However, most of the included studies (58%) were 6 weeks or less and previous research has suggested adherence to wearable devices for monitoring lifestyle behaviours decreases up to two years following a short-term..."</t>
  </si>
  <si>
    <t>1) Discussion, page 6.</t>
  </si>
  <si>
    <t xml:space="preserve">2) Studies with few participants make it difficult to obtain representative results and detect real effects. In this case, more than half of the studies had samples of 75 or fewer and limited evidence. </t>
  </si>
  <si>
    <t xml:space="preserve">2) " The study’s conclusions are limited by the current evidence base. Over half of the studies (n =11, 58%) had a sample size  of 75 or less and there was limited evidence examining longer-term impacts of chatbots, with most studies (n =11, 58%) being 6 weeks or less, and no interventions being longer than 1 year. It is also important to recognise that a lack of power in our subgroup analyses may have prevented us from identifying associations that are present,..." </t>
  </si>
  <si>
    <t>2) Discussion, page 7.</t>
  </si>
  <si>
    <t>3) The results cannot be applied to people with low digital literacy, because the volunteer participants were technologically savvy.</t>
  </si>
  <si>
    <t xml:space="preserve">3) "Furthermore, most of the studies involved recruiting participants from the general public (via self referral) and it is possible that individuals who expressed interest in participating in the trials were more likely to be technologically savvy and therefore our findings may be limited in generalisability to those with lower levels of digital literacy." </t>
  </si>
  <si>
    <t xml:space="preserve">3) Discussion, page 7. </t>
  </si>
  <si>
    <t xml:space="preserve">4) There may be ethical risks to simulated empathy, as chatbots do not fully understand the user. There are also privacy risks and sensitive handling of personal data. </t>
  </si>
  <si>
    <t xml:space="preserve">4) " However, it is important to consider that despite the fact that AI algorithms are improving in their ability to respond to human interaction, they cannot truly empathize and are limited in their understanding of a user’s complete situation. Consequently, users may reveal sensitive information to an AI algorithm that lacks the capacity to handle such information suitably. Privacy issues can arise when using chatbots. "  </t>
  </si>
  <si>
    <t>4) Discussion, page 6.</t>
  </si>
  <si>
    <t>5) There are security and data protection limitations. Systems are required to prevent information leaks and to offer clear policies on what data is stored and how it is used.</t>
  </si>
  <si>
    <t>5) "  Unintended data exposure can occur through hacking, sharing with third parties, or lax security. Chatbots should have clear and transparent privacy policies, preferably leaving decisions around data retention in the hands of the user."</t>
  </si>
  <si>
    <t>5) Discussion, page 6.</t>
  </si>
  <si>
    <t xml:space="preserve">1) Lack of conversational fluency in existing systems. When the system responds without coherence, the illusion of genuine intelligence is broken and frustration is generated in the user.  </t>
  </si>
  <si>
    <t>1) " During the conversation, in many systems, it typically happens that a robot may provide answers that have nothing to do with what the user says: this has a very negative impact on the  “suspension of disbelief” that is required to give the user the impression of genuine intelligence, and ultimately it generates frustration..."</t>
  </si>
  <si>
    <t>(1) Section 1 (Introduction), page 2.</t>
  </si>
  <si>
    <t xml:space="preserve">2) Limited assessment of conversational coherence. Current tools do not measure whether the agent maintains thematic consistency when the user changes topic or intent. </t>
  </si>
  <si>
    <t>2) " Unfortunately,the afore mentioned UX tools are not meant to evaluate topic coherence in a mixed-initiative dialogue, as in our case. The most similar measure to what we want to evaluate is the System Response Accuracy scale of the SASSI questionnaire..."</t>
  </si>
  <si>
    <t>2) Section 2.2 (User experience), page 4.</t>
  </si>
  <si>
    <t xml:space="preserve">3) Problems in responses generated by automatic models, since generative systems can learn biases from human language, such as toxicity or cultural prejudices. </t>
  </si>
  <si>
    <t>3) "  All generative models based on human-human data offer many advantages in producing human-like utterances fitting the context but have the major drawback that they can learn undesirable features leading to toxic or biased language."</t>
  </si>
  <si>
    <t>(3) Section 2.3 Artificial Conversational Agents, p. 4.</t>
  </si>
  <si>
    <t>4) Difficulty in adapting the dialogue to vulnerable users such as children and the elderly. This population requires a more controlled and culturally sensitive dialogue.</t>
  </si>
  <si>
    <t>4)"... Such an approach allows the system to have more control over what the robot says during the conversation: the idea of having a knowledge base designed by experts is particularly suitable for sensitive situations, i.e. when dealing with the more fragile population such as older adults or children. Approaches that automatically acquire knowledge from the Internet may not be optimal in these scenarios..."</t>
  </si>
  <si>
    <t>4) Section 2.1 (Knowledge-GroundedConversation) page 3.</t>
  </si>
  <si>
    <t xml:space="preserve">1) Rule-based chatbots work well on closed topics, but lose effectiveness when the language is free or natural. </t>
  </si>
  <si>
    <t xml:space="preserve">1) " But as the input becomes more natural or the domain moves to the open one, efficiency of rule-based approaches deteriorates." </t>
  </si>
  <si>
    <t xml:space="preserve">1) Classical/Rule-Based Approaches, page 2.    </t>
  </si>
  <si>
    <t xml:space="preserve">2) Chatbots based on pattern matching do not consider conversational history or context, which makes the chatbot less natural. </t>
  </si>
  <si>
    <t>2) "...In addition, it does not take into account the previous history or context of the conversation which makes it look less natural."</t>
  </si>
  <si>
    <t>2) Pattern Matching, page 3.</t>
  </si>
  <si>
    <t xml:space="preserve">3) Problems of text generation by Markov strings, since although grammatically a sentence may be fine, the content may lack semantic sense. </t>
  </si>
  <si>
    <t xml:space="preserve">3) " The chatbot built on this method (HeX) used to generate a nonsense sentence that used to sound right, as a failback method [17]." </t>
  </si>
  <si>
    <t>3) Markov chain Models, page 3.</t>
  </si>
  <si>
    <t xml:space="preserve">4) The "bag of words" model represents a text as a set of words without considering the order in which they appear, that is, it only matters which words are present and how many times they appear, so this is a limitation in the chatbots that implement it. If the chatbot ignores word order, it may lose the original intent and meaning. </t>
  </si>
  <si>
    <t>4) "Bag of words model is used which does not take into account the order within context and message."</t>
  </si>
  <si>
    <t xml:space="preserve">4) Table 1, (Design Techniques for chatbots along with evaluation metrics, corpus used and possible enhancement areas), page 6. </t>
  </si>
  <si>
    <t>5) In chatbots that use the coder-decoder model, it is common to generate generic responses such as "I don't know", which limits the development of meaningful interactions. In addition, it has been reported that the evaluation of this type of models represents a constant challenge.</t>
  </si>
  <si>
    <t>5) "The encoder-decoder model averages out the utterance-response pair. This is why it was noted in many  papers that generic responses such as ‘I don’t know’ have been produced by different models. Also, evaluating these models has long been a challenge posed to AI practitioners."</t>
  </si>
  <si>
    <t xml:space="preserve">5) Discussion and future work, page 10. </t>
  </si>
  <si>
    <t xml:space="preserve">6) In chatbots that employ the character-based neural conversation model, the system does not recognize the user's emotions, which limits conversational empathy. </t>
  </si>
  <si>
    <t>6) "Not able to capture mood, emotions at a particular point of time"</t>
  </si>
  <si>
    <t xml:space="preserve">6) Table 1, (Design Techniques for chatbots along with evaluation metrics, corpus used and possible enhancement areas), page 6. </t>
  </si>
  <si>
    <t xml:space="preserve">7) In chatbots that use the "Variational Hierarchical Recurrent Encoder–Decoder" model, it has been observed as a limitation that the model tends to generate long sentences consistently, even when a shorter and more adequate response would be expected. </t>
  </si>
  <si>
    <t>7) " Longer utterances generated every time, even when short replies are expected as well as suitable..."</t>
  </si>
  <si>
    <t xml:space="preserve">7) Table 1, (Design Techniques for chatbots along with evaluation metrics, corpus used and possible enhancement areas), page 7. </t>
  </si>
  <si>
    <t>8) Systems trained with ill-defined rewards can give incoherent or non-optimal responses. (Reinforcement Learning model + SEQ2SEQ model)</t>
  </si>
  <si>
    <t>8) " Rewards are heuristic and hence does not lead to an ideal conversation."</t>
  </si>
  <si>
    <t>8) Table 1, (Design Techniques for chatbots along with evaluation metrics, corpus used and possible enhancement areas), page 7</t>
  </si>
  <si>
    <t xml:space="preserve">1) The use of text interaction predominates, which could limit the agent's ability to capture other types of details such as visual, auditory or emotional details of his environment. </t>
  </si>
  <si>
    <t>1) "“...previous work has predominantly utilized textual messages as the medium for information perception and dissemination.”</t>
  </si>
  <si>
    <t>(1) Section 3.2 (Perception), page 7.</t>
  </si>
  <si>
    <t xml:space="preserve">2) A challenge is to integrate information from different sources such as computer vision or text, to achieve more natural and precise interactions. </t>
  </si>
  <si>
    <t>2) " The advent of multi-modal Large Language Models (MLLMs) has shifted this paradigm, facilitating the transition from unimodal to multi-modal information perception and unifying the modalities [71] in a manner more akin to human perception."</t>
  </si>
  <si>
    <t>(2) Section 3.2 (Perception), p. 7.</t>
  </si>
  <si>
    <t>3) Traditional systems have little capacity to adapt and handle complex tasks.</t>
  </si>
  <si>
    <t xml:space="preserve">3) "However, this approach has inherent limitations in terms of adaptability and complexity, prompting the exploration of more advanced and interactive agent-based systems." </t>
  </si>
  <si>
    <t xml:space="preserve">3) Section 1 (Introduction), page 1. </t>
  </si>
  <si>
    <t>4) The need for agents to communicate, reason and evolve in interactive environments implies complex technical challenges, such as designing effective mechanisms for collaboration, reflection and decision-making.</t>
  </si>
  <si>
    <t>4) "This process underscores the importance of inter-agent communication, reasoning with knowledge and experience to generate decisions, and evolution..."</t>
  </si>
  <si>
    <t>4) Section 1 (Introduction), page 1.</t>
  </si>
  <si>
    <t>5) There is a lack of a structured and unified vision of the design of multi-agent systems based on LLMs, which limits the coordinated development of the field.</t>
  </si>
  <si>
    <t>5)" However, previous works have been independently executed, lacking a systematic and comprehensive synthesis of the framework structure of LLM-based multi-agent systems"</t>
  </si>
  <si>
    <t xml:space="preserve">5) Section 1 (Introduction), page 2. </t>
  </si>
  <si>
    <t xml:space="preserve">6) The contextual generation of agent profiles is costly in time and effort, which limits scalability. </t>
  </si>
  <si>
    <t>6) " However, this approach is both one-time and labor-intensive, as it necessitates the regeneration of agent profiles for each new scenario."</t>
  </si>
  <si>
    <t>(6) Section 3.1.2 (Generation strategy), page 6.</t>
  </si>
  <si>
    <t>7) The predefined generation of agent profiles can lose control over them, affecting the personalization and accuracy of agent behavior.</t>
  </si>
  <si>
    <t>7) " While the pre-defined method significantly reduces the time required when the number of agents is large, it may lack precise control over the generated profiles, potentially limiting the customization and accuracy of agent behaviors"</t>
  </si>
  <si>
    <t>(7) Section 3.1.2 (Generation strategy), page 6.</t>
  </si>
  <si>
    <t xml:space="preserve">1) Usability issues such as: wording difficulties, incompatible synchronization with the device, speech recognition problems, time-consuming, general rejection of voice control mode, and general pronunciation problems. </t>
  </si>
  <si>
    <t>1) "The most often reported challenges for healthy aging older adults also concerned usability aspects including wording difficulties..."</t>
  </si>
  <si>
    <t>1) Range of benefits and challenges of CAs in older adults with and without ID, page 4 (Table 1).</t>
  </si>
  <si>
    <t>2) Difficulties in the integration of ACs (Conversational Agents) in daily life such as: learning difficulties in using CAs, incompatibility with other tools, obtaining health-related information.</t>
  </si>
  <si>
    <t>2) " The most relevant challenges for healthy aging adults were difficulties in learning to use the CA(n=4) and a lacking compatibility with other devices..."</t>
  </si>
  <si>
    <t xml:space="preserve">2) Range of benefits and challenges of CAs in older adults with and without ID, page 4 (Table 1). </t>
  </si>
  <si>
    <t>3) Privacy issues</t>
  </si>
  <si>
    <t>3) and 4) Range of benefits and challenges of CAs in older adults with and without ID, page 4 (Table 1).</t>
  </si>
  <si>
    <t>4) Source of worries and concerns such as fear of losing competencies or capabilities, concern about agent-related risks, fear of ruining the agent, lack of confidence in the agent's responses, and perceived lack of usefulness.</t>
  </si>
  <si>
    <t>3) y 4) "  In total, 10 papers reported that the CA was a source for various kinds of worries and concerns in the group of  healthy aging adults, mostly related to privacy concerns (n=6)."</t>
  </si>
  <si>
    <t>1) Little feedback from test users (students).</t>
  </si>
  <si>
    <t>1) " Qualitative feedback was sparse. Many students accepted the invitation to log into the system and tried the prototype, but only a small percentage were willing to share their data and experiences."</t>
  </si>
  <si>
    <t xml:space="preserve">1) Discussion, implications, and generalized recommendations, page 17. </t>
  </si>
  <si>
    <t>2) Evaluations with limited scope.</t>
  </si>
  <si>
    <t>2) "Some of our evaluations were limited in scope… the workshop was limited to four participants only.”</t>
  </si>
  <si>
    <t>2) Limitations, further research, and conclusions, page 19.</t>
  </si>
  <si>
    <t>3) Challenges in terms of trust and data privacy for students and university staff.</t>
  </si>
  <si>
    <t>3) " For students and university staff, transparent handling (R7.1), no misuse (R7.2), and anonymized data collection (R7.3) are essential."</t>
  </si>
  <si>
    <t>3) Requirements analysis for an IDSA, p. 11.</t>
  </si>
  <si>
    <t>4) Uneven value perceived by users since test users did not observe a value in the functionalities.</t>
  </si>
  <si>
    <t>4) " . Our evaluation shows that students did not always see added value in the functionalities..."</t>
  </si>
  <si>
    <t>4) Beta prototype, page 13.</t>
  </si>
  <si>
    <t>1) Data protection, identification of relevant data and its cleanliness represent technical obstacles.</t>
  </si>
  <si>
    <t xml:space="preserve">1) " However, big data technology presents challenges such as data protection, relevant data identification, and cleaning techniques for the analysis of data that have ..."
</t>
  </si>
  <si>
    <t xml:space="preserve">1) Big data and data analytics, page 5.
</t>
  </si>
  <si>
    <t>2) Making ethical and responsible decisions with multiple data sources is a challenge for systems.</t>
  </si>
  <si>
    <t>2) Artificial intelligence, page 5.</t>
  </si>
  <si>
    <t>2) "  With the exponential increase of data, it is crucial to integrate different sources to make informed, ethical and responsible decisions. Therefore, cognitive computing is mainly used for problems of complex resolution. "</t>
  </si>
  <si>
    <t>1) Lack of rigor in how case studies are reported with chatbots for health, which affects the ability to replicate or compare results.</t>
  </si>
  <si>
    <t>1) " main limitations include lack of adherence to good practices to case-study reporting,.."</t>
  </si>
  <si>
    <t>2) The social implications of the use of chatbots in sensitive contexts such as health are not addressed.</t>
  </si>
  <si>
    <t>2) " ...and a deeper look at the broader sociological implications brought by this technology."</t>
  </si>
  <si>
    <t xml:space="preserve">2) Abstract, page 1. </t>
  </si>
  <si>
    <t xml:space="preserve">3) As the chatbot area is relatively new, most of the reported work is in terms of developing chatbots from scratch rather than doing systematic reviews or larger studies. </t>
  </si>
  <si>
    <t>3) "... the novelty of the area makes most reported efforts be devoted to develop the chatbot from scratch rather than conducting more systematic and ample studies."</t>
  </si>
  <si>
    <t>3) Discussion, page 10.</t>
  </si>
  <si>
    <t>4) Opportunity to create specialized platforms for the health domain.</t>
  </si>
  <si>
    <t>4) " The large number of custom developments points to the opportunity of dedicated platforms that tackle the specifics of the health domain."</t>
  </si>
  <si>
    <t>4) Discussion, page 10.</t>
  </si>
  <si>
    <t>5) Reports on the use of chatbots lack methodological rigor and standardization.</t>
  </si>
  <si>
    <t>5) " The youth of the domain is also noted by the lack of rigor when reporting experiences."</t>
  </si>
  <si>
    <t>5) Discussion, page 10.</t>
  </si>
  <si>
    <t>6) The role of human support (such as doctors or therapists) during chatbot interventions is not detailed in the primary studies. Supportive intervention has been largely overlooked in the primary studies reviewed.</t>
  </si>
  <si>
    <t>6) "Primary studies also fall short of reporting the role played by supporters during the chatbot intervention."</t>
  </si>
  <si>
    <t>6) Discussion, page 10.</t>
  </si>
  <si>
    <t>7) According to the Efficiency Model of Support, there are multiple points where the use of the chatbot can fail, and these are not always considered by developers: a) Usability failures (design problems, ease of use), b) Engagement failures (lack of motivation or intention to use the chatbot), c) Fit failures (the chatbot does not fit the user's needs),   d) Knowledge failures (misuse due to lack of understanding) and e) Implementation failures (inability to integrate the use of the chatbot into daily life).</t>
  </si>
  <si>
    <t>7) "  This model introduces five categories of possible failures. Usability failures ..."</t>
  </si>
  <si>
    <t>7) Discussion, page 10.</t>
  </si>
  <si>
    <t>8) There are ethical doubts about delegating health decisions to automated programs.</t>
  </si>
  <si>
    <t>8) " It remains to be seen if the ethics of delegating human health problems to software programs are acceptable trade-offs."</t>
  </si>
  <si>
    <t>8) Discussion, page 10.</t>
  </si>
  <si>
    <t>9) Constant evaluation is required to detect problems such as failures, privacy violations, or harm to patients.</t>
  </si>
  <si>
    <t>9) "  This calls for continuous evaluation of chatbot functioning, including problematic responses, privacy breaches, or patient harm.."</t>
  </si>
  <si>
    <t>9) Discussion, page 10.</t>
  </si>
  <si>
    <t>1) The effectiveness of the chatbot depends on its accuracy, which requires careful design and an extensive database.</t>
  </si>
  <si>
    <t xml:space="preserve">1) "  Above all, the effectiveness of a chatbot relies on its accuracy and ability to provide helpful information. This is largely dependent on its ability to categorize topics of discussion and provide appropriate responses to patient-generated questions. This requires thoughtful design and an extensive database of relevant clinical conversations." </t>
  </si>
  <si>
    <t>1) Chatbots, page 4.</t>
  </si>
  <si>
    <t>2) Chatbots have limited functions due to the restrictions of the messaging platforms on which they operate, which reduces their capacity in front of applications or portals. In addition, they can generate inaccurate answers to complex or out-of-context queries.</t>
  </si>
  <si>
    <t>2) " The drawbacks of chatbots include their limited features and potential for inaccuracy.  Because chatbots exist within messaging platforms, they may offer fewer features and capabilities compared with portals or applications..."</t>
  </si>
  <si>
    <t>2) Chatbots, page 4.</t>
  </si>
  <si>
    <t>3) Usability barriers for some patients, as some users may find it difficult to download and navigate new applications.</t>
  </si>
  <si>
    <t>3) " For some patients, downloading and navigating a new application may be cumbersome..."</t>
  </si>
  <si>
    <t>3) Mobile Health Applications, page 3.</t>
  </si>
  <si>
    <t>4) Limitations of technological access, most applications require the patient to have a smartphone, and some may be available only on certain operating systems.</t>
  </si>
  <si>
    <t>4) " Most applications require that a patient has a smartphone and some may only be available on certain types of phones/operating systems.."</t>
  </si>
  <si>
    <t>4) Mobile Health Applications, page 3.</t>
  </si>
  <si>
    <t>5) Constant communication can generate in patients the perception of permanent availability, which could cause an overload in the system's resources.</t>
  </si>
  <si>
    <t>5) " ... the ease of communication may result in patients feeling they have 24/7 access to their provider to ask unlimited questions, which can ultimately strain clinical resources."</t>
  </si>
  <si>
    <t>5) Mobile Health Applications, page 3.</t>
  </si>
  <si>
    <t>6) Currently, many mHealth apps are developed by independent technology companies, and the data generated by patients on these platforms is not integrated into their electronic health records.</t>
  </si>
  <si>
    <t>6) "  Currently, many mHealth™ applications are offered by in dependent health tech companies and the patient-generated data within the application is not shared or included in the patient’s EHR."</t>
  </si>
  <si>
    <t>6) Mobile Health Applications, page 3.</t>
  </si>
  <si>
    <t>7) More research is required on the credibility, accuracy, and patient benefits of mHealth apps, both when they work independently and when integrated with the electronic health record.</t>
  </si>
  <si>
    <t>7) " Additional research should focus on the credibility, accuracy, and overall patient benefit of mHealth applications…"</t>
  </si>
  <si>
    <t>7) Mobile Health Applications, page 3.</t>
  </si>
  <si>
    <t>1) Limitation in emotional understanding. Humans can notice tone and subtext in a way that a bot cannot.  This difference requires collaboration between service bots and specialized human professionals, towards mixed work teams.</t>
  </si>
  <si>
    <t>1) " A limitation of service bots is that humans can notice tone and subtext in a way that  a service bot could never master. This disparity calls for cross-functional collaboration between service bots and higher skilled humans, transitioning toward blended work forces."</t>
  </si>
  <si>
    <t>1) Sustainable business models, page 17.</t>
  </si>
  <si>
    <t xml:space="preserve">2) Language service bots use fixed rules to generate controlled conversations. These bots do not correct errors on their own, so they require human intervention in the event of interpretation errors. </t>
  </si>
  <si>
    <t>2) " Interactions with these bots are specific and structured, during which automated tests check the bots’ quality and consistency but cannot correct any bot misinterpretations…"</t>
  </si>
  <si>
    <t>2) Table 2 Types of service bots, page 10.</t>
  </si>
  <si>
    <t xml:space="preserve">3) Difficulty of maintenance and improvement. AI-based service bots are more conversational and personalized than rule-based bots. However, they require large volumes of data and human training for even basic tasks and their failures are difficult to correct or improve. </t>
  </si>
  <si>
    <t xml:space="preserve">3) " AI service bots work best if tasks are  well matched to their capabilities, since they require a large amount of training data and human training specialists to perform even basic tasks. Any malfunctions are difficult to fix, let alone optimise and improve." </t>
  </si>
  <si>
    <t>3) Table 2 Types of service bots, page 10.</t>
  </si>
  <si>
    <t>4) There is a risk of bias. Bots can learn to reproduce biases based on the data collected, for example, demographic discrimination. Need for ethical oversight and bias correction.</t>
  </si>
  <si>
    <t>4) "necessitates the ethics and risk officer to detect, correct and prevent any biases that the service bots learn through the data they collect. For example, seervice bots may discriminate against customers based on their demographics (Puntoni et al., 2021)."</t>
  </si>
  <si>
    <t>4) Results: theoretical propositions, page 11.</t>
  </si>
  <si>
    <t>5) Lack of control over learning in social networks, bots can be influenced by malicious users, as happened with Microsoft's Tay.</t>
  </si>
  <si>
    <t>5) " This project  (Microsoft Tay) failed, because the developers did not anticipate that some Twitter users would teach the bot to make racist, inflammatory and offensive tweets through its Twitter account (Berditchevskaia &amp; Baeck, 2020)."</t>
  </si>
  <si>
    <t>5) Results: theoretical propositions, page 11.</t>
  </si>
  <si>
    <t>6) Ethical risk: when bots pose as humans, they can make inappropriate decisions in the face of undetected contextual changes.</t>
  </si>
  <si>
    <t>6) “There are also ethical and security risks when service bots impersonate humans… leading to unintended consequences.”</t>
  </si>
  <si>
    <t>6) Results: theoretical propositions, page 12.</t>
  </si>
  <si>
    <t>7) Service bots also have excessive access and privileges that put them at risk of cyberattacks.</t>
  </si>
  <si>
    <t>7) “Service bots also have excessive access and privileges that place them at risk of cyber-attacks.”</t>
  </si>
  <si>
    <t>7) Results: theoretical propositions, page 12.</t>
  </si>
  <si>
    <t>8) Triggering inappropriate behaviors. Customers are more likely to act unethically or inappropriately when interacting with service bots.</t>
  </si>
  <si>
    <t>8) "customers are more likely to act unethically and misbehave when interacting with service bots."</t>
  </si>
  <si>
    <t>8) Results: theoretical propositions, page 12.</t>
  </si>
  <si>
    <t>9) Service bots must undergo audits and continuous monitoring to prevent breaches and ensure quality of service.</t>
  </si>
  <si>
    <t>9) " Service bots need to be monitored to detect and prevent these infringements." y "ervice bots require service audits to prevent poor service quality outcomes."</t>
  </si>
  <si>
    <t>9) Results: theoretical propositions, page 12.</t>
  </si>
  <si>
    <t xml:space="preserve">Puntoni, S., Reczek, R. W., Giesler, M., &amp; Botti, S. (2021). Consumers and artificial intelligence: An experiential perspective.  Journal of Marketing, 85(1), 131–151.
 </t>
  </si>
  <si>
    <t xml:space="preserve">
 Berditchevskaia, A. &amp; Baeck, P. (2020). The Future of Minds and Machines. [Online] Available at: https://media.nesta.org.uk/documents/FINAL_The_future_of_minds_and_machines.pdf. [Accessed 10 May 2020]</t>
  </si>
  <si>
    <t>1) Rejection (by users) is related to the device's ability to make autonomous decisions, privacy control and interaction style, when the DVA (Digital Virtual Assistant) acts as if it were a friend.</t>
  </si>
  <si>
    <t>1) "Rejection relates to the device’s autonomous decision-making and privacy control capabilities, as well as the style of interaction, when the DVA acts as though it was a friend..."</t>
  </si>
  <si>
    <t>2) The more autonomous a smart product is, the more complex and risky it is for the user.</t>
  </si>
  <si>
    <t>2) "The more autonomous a smart product, the more complex and risky it is for the user."</t>
  </si>
  <si>
    <t>2) Research on smart products, page 5.</t>
  </si>
  <si>
    <t>3) Participants express concerns about technical dependence and external control by the device.</t>
  </si>
  <si>
    <t>3) "Respondents express concerns about technical dependency and external control by the device."</t>
  </si>
  <si>
    <t>3) Research on smart products, page 5.</t>
  </si>
  <si>
    <t>4) The lack of possibility of intervention in autonomous systems reduces the intention of use, since the restriction of control and self-determination generates negative perceptions.</t>
  </si>
  <si>
    <t>4) "The study results show that the possibility of intervening in the processes of an autonomous product increases the intention to use the product compared to products without this possibility. Again, the aspects of disempowerment or, in the opposite direction, the possibility of control are identified as important determinants."</t>
  </si>
  <si>
    <t>4) Research on smart products, page 5.</t>
  </si>
  <si>
    <t>5) According to the responses collected, there is concern about the vulnerability of systems to hacks and the possible exposure of personal data.</t>
  </si>
  <si>
    <t>5) "The categories were developed inductively: for example, in interview W2, the phrase “Yes, these are all the issues; there is a possibility that it will be hacked, my privacy will come out, and they will all play with it.” paraphrases “the danger of hacking the system and disclosure of private data”. By clustering with other, identical or similar paraphrases, the category of “Concerns regarding security/vulnerability” could be identified.</t>
  </si>
  <si>
    <t>5) Analysis of the interviews, page 12.</t>
  </si>
  <si>
    <t>6) Fear of external control or manipulation is considered a perceived risk of digital voice assistants.</t>
  </si>
  <si>
    <t>6) "The fear of external control or manipulation is named as a perceived risk of digital voice assistants"</t>
  </si>
  <si>
    <t>6) Table 6 Perceived risk and the demand for control, page 18.</t>
  </si>
  <si>
    <t>7) The lack of clarity about what the data will be used for generates discomfort.</t>
  </si>
  <si>
    <t>7) "Lack of clarity as to what the data will be used for causes discomfort."</t>
  </si>
  <si>
    <t>7) Table 6 Perceived risk and the demand for control, page 18.</t>
  </si>
  <si>
    <t>8) Excessive autonomy: rejection of proactive decisions without consent</t>
  </si>
  <si>
    <t>8) "Table 6. Perceived risk and the demand for control."</t>
  </si>
  <si>
    <t>8) Table 6 Perceived risk and the demand for control, p. 18.</t>
  </si>
  <si>
    <t>9) Privacy and security: fear of data leakage, hacking, tampering</t>
  </si>
  <si>
    <t>9) "Table 6. Perceived risk and the demand for control"</t>
  </si>
  <si>
    <t>9) Table 6 Perceived risk and the demand for control, page 18.</t>
  </si>
  <si>
    <t>10) Unwanted anthropomorphism: discomfort with emotional or humanized interactions</t>
  </si>
  <si>
    <t>10) "Table 7. Anthropomorphic attributes of DVAs"</t>
  </si>
  <si>
    <t>10) Table 7 Anthropomorphic attributes of DVAs, page 22.</t>
  </si>
  <si>
    <t xml:space="preserve">1) Neural approaches require large volumes of data to train the model, which hinders their application in contexts where this data is unavailable.                                                                         </t>
  </si>
  <si>
    <t>1) " Most neural approaches are data hungry, requiring a large amount of data to fully train the model."</t>
  </si>
  <si>
    <t xml:space="preserve"> 2) Creating annotated datasets for specific domains involves a considerable expenditure of time and resources.   </t>
  </si>
  <si>
    <t>2) " However, in task-oriented dialog systems, the domain-specific data are often hard to collect and expensive to annotate. "</t>
  </si>
  <si>
    <t xml:space="preserve">3) One of the biggest challenges in the area is learning in resource-constrained environments.           </t>
  </si>
  <si>
    <t>3) "  Therefore, the problem of low-resource learning is one of the major challenges."</t>
  </si>
  <si>
    <t xml:space="preserve">  4) In classification methods for dialog state tracking (DST), the lack of sufficient training data causes difficulties in handling unseen terms and limits generalization to new domains.  </t>
  </si>
  <si>
    <t>4) " ...when the training data are not sufficient, such classification-based methods can suffer from the out-of vocabulary (OOV) problem and can not be directly generalized to new domains."</t>
  </si>
  <si>
    <t xml:space="preserve"> 5) Reinforcement learning requires interaction with humans as a training environment, which entails high costs in time and resources.                                </t>
  </si>
  <si>
    <t>5) "... the training of dialog policy requires real humans to serve as the environment, which is very costly."</t>
  </si>
  <si>
    <t xml:space="preserve"> 6) The use of manually defined rewards, for example, task completion rate or number of turns, does not always accurately reflect the quality of the system.         </t>
  </si>
  <si>
    <t>6) "...most existing methods used manually defined rewards, such as task-completion rate and session turn number, which cannot reliably evaluate the performance of a system."</t>
  </si>
  <si>
    <t xml:space="preserve"> 7) In reinforcement learning models, it is common to use user simulators. User simulators cannot fully reproduce real human behavior, which can lead to models with poor performance in real-world interactions.         </t>
  </si>
  <si>
    <t>7) " However, the user simulator is not able to fully mimic real human conversation behaviors, and its inductive bias may lead to sub-optimal models that perform poorly in real human conversation."</t>
  </si>
  <si>
    <t xml:space="preserve"> 8) Difficulty in building knowledge base queries in end-to-end approaches due to the absence of an explicit representation of the dialogue state. The dialogue state is the structured representation of the relevant information exchanged so far in the conversation (e.g., slot values, user intentions, accumulated context), and serves as a reference for deciding the next steps in the interaction and generating accurate responses.      </t>
  </si>
  <si>
    <t>8) "  Compared with pipeline models, the end-to-end approaches by pass modular models which requires fine-grained annotation and domain expertise. However, this simplification makes it hard to construct a query since there is no explicit state representation.</t>
  </si>
  <si>
    <t>9) Data-driven, task-oriented dialogue systems require detailed annotations (e.g., dialogue act and state labels), which increases development complexity and cost.  1</t>
  </si>
  <si>
    <t>9) " ...data-driven approaches for task-oriented dialog systems often require fine-grained annotations to learn the dialog model in a specific domain, e.g., dialog act and state labels."</t>
  </si>
  <si>
    <t xml:space="preserve">10) For machine learning-based models, in real-world scenarios, the distribution of training and test data can differ, especially when there is little data for the target task and abundant data for a different task.               </t>
  </si>
  <si>
    <t>10) "One major assumption of machine learning is that the training and test data have the same distribution. However, in many real-world scenarios, this does not hold when we have only limited data in the target task but sufficient data in another task, with different data distributions."</t>
  </si>
  <si>
    <t xml:space="preserve">11) Challenge: Apply and optimize transfer learning techniques to leverage data and models from different domains and reduce the need for target domain data.                          </t>
  </si>
  <si>
    <t>11) " Transfer learning is thus proposed to mitigate this problem by transferring knowledge from a source task to a target task."</t>
  </si>
  <si>
    <t xml:space="preserve">12) Estimating the reward signal in dialogue policy learning is difficult to obtain in real-world applications, which limits the training of reinforcement learning models (unsupervised learning).                                          </t>
  </si>
  <si>
    <t>12) " A crucial issue in dialog policy learning is to estimate reward signal, which is hard to be obtained in real-world applications."</t>
  </si>
  <si>
    <t xml:space="preserve">13) Building the ontology of a dialogue system generally depends on human experts and requires intensive domain engineering work.                                                                                                                                                                                                                                       </t>
  </si>
  <si>
    <t>13) "In most studies, the ontology of a dialog system is built by human experts through elaborate domain engineering."</t>
  </si>
  <si>
    <t xml:space="preserve">14) A slot is a semantic component that represents a specific unit of information that the system needs to complete a task. For example, in a conversation to book a restaurant, slots could be type of food, location, or price range. In scenarios involving multi-domain processing, the system experiences greater complexity because it must identify both the domain and the value of each slot in every                            interaction.                                                                                                                                                                                                                                                                                                                                                                                                                                                                                                                                                                 </t>
  </si>
  <si>
    <t>14) "Compared with single-domain tasks, the DST in multi-domain scenario has to predict the domain of slot values."</t>
  </si>
  <si>
    <t xml:space="preserve">15) Dependence on predefined domain schemes tied to a specific corpus limits scalability and hinders transfer to new tasks.                                                                                                                                                                                                                                                                </t>
  </si>
  <si>
    <t>15) "  However, ontology integration for task-oriented dialog models becomes more challenging, because of the large scale of task domains. Though the pre-defined ontology can be considered into model design, these approaches are coupled with domain schema and cannot be easily transferred to a new task. While increasing end-to-end models are proposed to alleviate the schema integration problem, it is not trivial to involve context information and knowledge base..."</t>
  </si>
  <si>
    <t xml:space="preserve">16) The lack of robustness of the models in the face of noisy or out-of-distribution inputs limits their applicability in real-world environments.                                                                                                                                                                                                                        </t>
  </si>
  <si>
    <t>16) "models trained in such an ad hoc way often fall short in real applications where there are many out-of-domain or out-of-distribution inputs..."</t>
  </si>
  <si>
    <t xml:space="preserve">17) Completely end-to-end modeling without intermediate supervision and with seamless integration into the knowledge base remains an open challenge.                                                                                                     </t>
  </si>
  <si>
    <t>17) " Therefore, the problem of modeling task-oriented dialog in a fully end-to-end fashion, without intermediate supervision and can seamlessly interact with the knowledge base, is still an open problem.</t>
  </si>
  <si>
    <t xml:space="preserve">(1) Introduction, p. 3. </t>
  </si>
  <si>
    <t xml:space="preserve">(2) Introduction, p. 3. 
</t>
  </si>
  <si>
    <t xml:space="preserve">(3) Introduction, p. 3. 
</t>
  </si>
  <si>
    <t xml:space="preserve">
4) Introduction, p. 2. </t>
  </si>
  <si>
    <t xml:space="preserve">(5)  Introduction, p. 2. </t>
  </si>
  <si>
    <t xml:space="preserve">(6) Introduction, p. 2. </t>
  </si>
  <si>
    <t xml:space="preserve">7) Subsection 2.3 (Dialog policy), page 5. </t>
  </si>
  <si>
    <t xml:space="preserve"> (8) Introduction, p. 3. </t>
  </si>
  <si>
    <t>(9) Subsection 5.1 (Data efficiency), p. 7.</t>
  </si>
  <si>
    <t xml:space="preserve">(10) Subsection 5.1.1 (Transfer learning), p. 7. 
</t>
  </si>
  <si>
    <t xml:space="preserve"> (11) Subsection 5.1.1 (Transfer learning), p. 7. </t>
  </si>
  <si>
    <t xml:space="preserve">(12) Subsection 5.1.2 (Unsupervised methods), p. 9.
</t>
  </si>
  <si>
    <t xml:space="preserve"> (13) Subsection 5.1.2 (Unsupervised methods), p. 9.</t>
  </si>
  <si>
    <t xml:space="preserve">(14) Subsection 5.2.1 (Generative DST), p. 11.
</t>
  </si>
  <si>
    <t>(15) Subsection 5.3 (Ontology integration), p. 12.</t>
  </si>
  <si>
    <t>16)  Section 6 (Discussion and future trends), p. 14.</t>
  </si>
  <si>
    <t>17) Section 6 (Discussion and future trends), p. 14.</t>
  </si>
  <si>
    <t>(1) Section 2.1 (Task automation), p. 3.</t>
  </si>
  <si>
    <t>(2) Section 2.1 (Task automation), p. 3.</t>
  </si>
  <si>
    <t xml:space="preserve"> (3) Section 2.1 (Task automation), p. 3.</t>
  </si>
  <si>
    <t xml:space="preserve"> (4) Section 2.1 (Task automation), p. 3.</t>
  </si>
  <si>
    <t>(5) Section 2.1 (Task automation), p. 3.</t>
  </si>
  <si>
    <t>6) Table 2. (Risks and benefits associated with proliferation of virtual assistants and robots), page 4.</t>
  </si>
  <si>
    <t>(7) Subsection 3.5 (Autonomy), p. 7.</t>
  </si>
  <si>
    <t xml:space="preserve">(8)  Subsection 3.5 (Autonomy), p. 8. </t>
  </si>
  <si>
    <t xml:space="preserve"> (9) Subsection 3.5 (Autonomy), p. 8.</t>
  </si>
  <si>
    <t>(10) Section 3.7 (Wireless challenges), p. 8.</t>
  </si>
  <si>
    <t>(11) Subsection 3.8 (Data driven applications), p. 10.</t>
  </si>
  <si>
    <t>(12) Table 3 (Challenges, potential solutions and limitations of virtual assistants and robots for domestic use), p. 9.</t>
  </si>
  <si>
    <t>(Cerrudo and Apa 2017)  Cerrudo, C., Apa, L. (2017). Hacking robots before skynet. Cybersecurity Insight, IOActive Report, Seattle, USA.</t>
  </si>
  <si>
    <t>(Luger and Sellen 2016) Luger, E., Sellen, A. (2016). Like having a really bad pa: the gulf between user expectation and experience of conversational agents. In: CHI'16. pp. 5286–5297</t>
  </si>
  <si>
    <t>(Rawassizadeh et al. 2018)  Rawassizadeh, R., Pierson, T., Peterson, R., Kotz, D.: NoCloud: experimenting with network disconnection through on-device data analysis. IEEE Pervasive Computation. 17(1), 64–74 (2018)</t>
  </si>
  <si>
    <t>This paper analyzes the risks and benefits of existing systems, then addresses challenges and future directions. 1) Automating household chores can reduce users' physical activity, increasing health risks.</t>
  </si>
  <si>
    <t>1) "...the replacement of human labor with mechanical labor may lead to an increased chance of inactivity and obesity among users."</t>
  </si>
  <si>
    <t>2) Unemployment risk: Automation can affect jobs such as housekeepers or gardeners.</t>
  </si>
  <si>
    <t>2) " Another widely discussed risk is unemployment among professional assistants who offer similar services, e.g. home gardeners... "</t>
  </si>
  <si>
    <t>3) Physical risk due to mechanical errors. Physical errors of robots can cause serious damage if they interact with humans.</t>
  </si>
  <si>
    <t>3) "...mechanical errors of a robot with a hard body coming into contact with a relatively fragile human body can be catastrophic…"</t>
  </si>
  <si>
    <t>4) Some robots designed for companionship could reduce human interaction and increase isolation.</t>
  </si>
  <si>
    <t>4) " ...the concerns that erotic assistants may increase the social isolation among users."</t>
  </si>
  <si>
    <t>5) The collection of personal data by virtual assistants may compromise the user's privacy.</t>
  </si>
  <si>
    <t>5) "In addition to these challenges, data collection toward satisfying certain needs may expose users to privacy and security risks, especially by systems which compile extensive datasets filled with inherently personal, and often confidential, user information, such as user information and exposing recorded voice communications recorded in their most private spaces (e.g. bedroom) to untrusted parties."</t>
  </si>
  <si>
    <t>6) Users can develop emotional bonds with virtual assistants, affecting their psychological well-being.</t>
  </si>
  <si>
    <t>6) "Physiological and mental attachment to human-made artifacts to satisfy the need for companionship."</t>
  </si>
  <si>
    <t xml:space="preserve">7) It is not clear to what extent attendees must make autonomous decisions. On the one hand, it can limit the autonomy of users to control the system, on the other, it could facilitate the establishment of trust between the user and the system, because unconditional obedience is not typical in human communication. </t>
  </si>
  <si>
    <t>7) "However, borderlines for implementing autonomy is not clear."</t>
  </si>
  <si>
    <t>8) Attendees can be vulnerable to attacks that compromise their control and security.</t>
  </si>
  <si>
    <t xml:space="preserve">8) "  Autonomy imposes a risk of safety and security as well. For instance, a wireless attack to a robot or virtual assistant can hand over the system control to attacker (Cerrudo and Apa 2017)." </t>
  </si>
  <si>
    <t>9) The autonomy of systems can be exploited by malware, giving control of devices to cybercriminals.</t>
  </si>
  <si>
    <t xml:space="preserve">9) " Chief among these is the possibility of malware that hands control of users’ devices to cybercriminals." </t>
  </si>
  <si>
    <t>10) Reliance on wireless connectivity, which exposes you to privacy risks, interruptions due to network failures, and battery limitations, affecting functionality and user experience.</t>
  </si>
  <si>
    <t>10) " Wireless connectivity greatly enhances user experience, but the usual risks associated with network dependence (including privacy, battery life, and network reliability) persist (Luger and Sellen 2016)." " Even high-quality cloud providers experience network outages..."</t>
  </si>
  <si>
    <t>11) Machine learning algorithms require large volumes of data and specialized hardware, making it difficult to train and run on small or low-cost devices with limited battery.</t>
  </si>
  <si>
    <t>11) " Nevertheless, machine learning algorithms are heavily relying on large corpus of training data, which is not possible to be fed into small devices (Rawassizadeh et al. 2018)."The training phase needs a large amount of data, that is not easy to fit into small or battery powered devices... especially for inexpensive devices which are not able to host a machine learning hardwares such as Graphical Processing Unit or Neural Processing Units..."</t>
  </si>
  <si>
    <t>12) Table 3 of the article mentions technical and conceptual challenges such as: limited predefined rules, lack of customization, unnatural interfaces, ill-defined autonomy, dependence on internet connection, and lack of financial incentives. It also mentions potential solutions to these challenges such as: user focus analysis, integration of contextual sensors, use of friendlier materials, transparency in processing, internet disconnection for greater security, and federated learning. Finally, he mentions some limitations that slow down the solution of the challenges: creativity limited by formalization (Gödel), privacy risks, the phenomenon of the "uncanny valley", battery limitations, loss of trust due to advertising, and loss of computational capacity when disconnected from the cloud.</t>
  </si>
  <si>
    <t>12) Tabla 3.</t>
  </si>
  <si>
    <t xml:space="preserve">1) Introduction, page 2.
</t>
  </si>
  <si>
    <t xml:space="preserve">
2) Table 1 (Summary of major conversational systems), page 5. </t>
  </si>
  <si>
    <t xml:space="preserve">3) Subsection 3.2 (Social chatbot metrics), page 7.
</t>
  </si>
  <si>
    <t xml:space="preserve">4) Subsection 3.1 (EQ+IQ), page 6.
</t>
  </si>
  <si>
    <t xml:space="preserve">5) Section 6 (Outlook and discussion), p. 14.
</t>
  </si>
  <si>
    <t xml:space="preserve">(6) Section 6 (Outlook and discussion), p. 14.
</t>
  </si>
  <si>
    <t xml:space="preserve"> (7) Section 6 (Outlook and discussion), p. 14.
</t>
  </si>
  <si>
    <t>1) Personal assistants must work in multiple open contexts, which is technically complex.</t>
  </si>
  <si>
    <t xml:space="preserve">1) "The daunting challenge for such IPAs is that they must work well in many open domain scenarios as people learn to depend on them to manage their work and lives efficiently." </t>
  </si>
  <si>
    <t>2) In the first generations, with scripts and pattern coincidence, limited knowledge predominated; in systems based on AIML (Artificial Intelligence Markup Language), the excessive growth of scripts; with statistical models, the dependence on domains with defined schemas; in multi-thematic attendees, the lack of emotional commitment; and in the most advanced, the inconsistency of personality in long dialogues.</t>
  </si>
  <si>
    <t>2) Contenido en la Tabla 1.</t>
  </si>
  <si>
    <t>3) The performance evaluation of social chatbots is complex, since unlike systems oriented to the completion of tasks, there is no standard metric equivalent to the success rate in tasks. Traditional methods such as the Turing test are not suitable for measuring emotional engagement with users.</t>
  </si>
  <si>
    <t>3) "Unlike task-completion conversational systems where their performance can be measured by task success rate, measuring the performance of chatbots is difficult (Shawar and Atwell, 2007; Yu et al., 2016). "...the Turing test is not a proper metric for evaluating the success of emotional engagement with users"</t>
  </si>
  <si>
    <t>4) The chatbot must avoid offensive or biased responses, which requires robust ethical filters.</t>
  </si>
  <si>
    <t>4) " It should also be aware of inappropriate information and can avoid generating biased responses for instance..."</t>
  </si>
  <si>
    <t>5) Incomplete or ambiguous information can reduce the effectiveness of proactive assistance in social chatbots.</t>
  </si>
  <si>
    <t>5) " However, such information is often incomplete and ambiguous, making proactive assistance often ineffective..."</t>
  </si>
  <si>
    <t>6) The development of social chatbots with full human understanding remains a challenge, requiring advances in empathic modeling, knowledge and memory management, interpretable intelligence, neuro-symbolic reasoning, multimodal capabilities, and emotional reward calibration.</t>
  </si>
  <si>
    <t>6) "the fundamental mechanism of human-level intelligence, as frequently reflected in human- to-human communication, is not yet fully understood. It will be incredibly challenging to build an intelligent social chatbot that can totally understand humans..."</t>
  </si>
  <si>
    <t>7) The design and implementation of social chatbots requires ethical guidelines and safety mechanisms that prevent physical or mental harm, as well as continuous evaluation to ensure responsible use.</t>
  </si>
  <si>
    <t>7) " ...it is imperative to establish ethical guidelines for designing and implementing such AI systems. It is also critical to develop fail-safe mechanisms to ensure that these systems do not disadvantage or harm anyone, physically or mentally..."</t>
  </si>
  <si>
    <t>1) Section IV. (Result &amp; Discussion), page 4.</t>
  </si>
  <si>
    <t>2)Section IV. (Result &amp; Discussion), page 4.</t>
  </si>
  <si>
    <t>3) Section IV. (Result &amp; Discussion), page 4.</t>
  </si>
  <si>
    <t xml:space="preserve">[27] N. Bhirud, S. Tataale, S. Randive, and S. Nahar, "A Literature Review On Chatbots In Healthcare Domain" INTERNATIONAL JOURNAL OF SCIENTIFIC &amp; TECHNOLOGY RESEARCH, vol. 8, no. 7, pp.  225-231, 2019, IJSTR-0719-20726. </t>
  </si>
  <si>
    <t xml:space="preserve">
[28] S. Ayanouz and A. B. Anouar, "A Smart Chatbot Architecture based NLP and Machine Learning for Health Care Assistance," NISS2020: Proceedings of the 3rd International Conference on Networking, Information Systems &amp; Security, Art. No. 78, pp. 1-7, 2020, DOI:10.1145/3386723.3387897. 
[29] S. Siddique, J. C. L. Chow, Machine Learning in Healthcare Communication. Encyclopedia 2021, 1(1), 220 239; 2021, DOI:10.3390/1010021.  
</t>
  </si>
  <si>
    <t>[30] S. Laumer, C. Maier, Gubler, F, Chatbot Acceptance in Healthcare: Explaining User Adoption of Conventional Agents for Disease Diagnosis, 2019</t>
  </si>
  <si>
    <t>1) Some patients are hesitant to use medical chatbots, which limits their adoption.</t>
  </si>
  <si>
    <t>1) "There are still some challenges faced by the implementation of chatbot in the medical scene, especially regarding patient’s trust and willingness in utilizing it [27]."</t>
  </si>
  <si>
    <t>2) (There are no clear rules for how medical chatbots should work.) Patients' confidence and willingness to use medical chatbots remains limited, in part due to a lack of standardization in their development.</t>
  </si>
  <si>
    <t>2) "...that chatbot could be used, with some even planning to prescribe chatbot to their patients, some of the patient users are more reserved in using chatbot [28]. This issue could be caused by the lack of chatbot standardization [29]."</t>
  </si>
  <si>
    <t>3) The effectiveness of chatbots in health can be limited by a poor user experience; Language and the lack of a close personality affect patients' interaction and trust.</t>
  </si>
  <si>
    <t>3) " A way to increase patients’ interaction with healthcare chatbots, and thus effectiveness of chatbots, is to improve the user experience by carefully selecting the language used and using a more human-like persona to gain users’ trust. It is found that chatbots with more technical language can increase patients’ understanding to their condition [30]. "</t>
  </si>
  <si>
    <t>1) Section C. (Challenges of using chatbots in CSCL), page 2.</t>
  </si>
  <si>
    <t xml:space="preserve">
2)Section C. (Challenges of using chatbots in CSCL), page 3.
</t>
  </si>
  <si>
    <t xml:space="preserve">3) Section C. (Challenges of using chatbots in CSCL), page 3.
</t>
  </si>
  <si>
    <t xml:space="preserve">4)Section C. (Challenges of using chatbots in CSCL), page 3.
</t>
  </si>
  <si>
    <t xml:space="preserve"> 5)  Section C. (Challenges of using chatbots in CSCL), page 3.
</t>
  </si>
  <si>
    <t xml:space="preserve"> 6) Section C. (Challenges of using chatbots in CSCL), page 3.
</t>
  </si>
  <si>
    <t xml:space="preserve">[22] K. Guo, Y. Zhong, D. Li, and S. K. W. Chu, "Investigating students' engagement in chatbot-supported classroom debates," Interact. Learn. Environ., pp. 1–17, 2023. </t>
  </si>
  <si>
    <t xml:space="preserve">[27] B. Wieland, J. de Wit, and A. de Rooij, "Electronic brainstorming with a chatbot partner: A good idea due to increased productivity and idea diversity," Front. Artif. Intell., vol. 5, 880673, 2022. </t>
  </si>
  <si>
    <t>[28] Y. Hayashi, "Multiple pedagogical conversational agents to support learner-learner collaborative learning: Effects of splitting suggestion types," Cogn. Syst. Res., vol. 54, pp. 246–257, 2019.</t>
  </si>
  <si>
    <t xml:space="preserve">[29] M. Siadaty, D. Gašević, and M. Hatala, "Measuring the impact of technological scaffolding interventions on micro-level processes of self-regulated workplace learning," Comput. Human Behav., vol. 59, pp. 469-482, 2016. </t>
  </si>
  <si>
    <t>[21] H. Nguyen, "Let's teach Kibot: Discovering discussion patterns between student groups and two conversational agent designs," Br. J. Educ. Technol., vol. 53, no. 6, pp. 1864–1884, 2022.</t>
  </si>
  <si>
    <t xml:space="preserve">The main challenges associated with the integration of chatbots in computer-assisted collaborative learning (CSCL) were found, classified in aspects of design, implementation and evaluation. 1) (Design) Chatbots with rigid scripts do not respond well to spontaneous questions. Chatbots lack the sophistication needed for meaningful dialogue. </t>
  </si>
  <si>
    <t>1) "...overscripting is a key challenge as it limits timely responses to unscripted student questions, and chatbots often lack the sophistication needed for meaningful dialogue."</t>
  </si>
  <si>
    <t>2)(Implementation) The chatbots were briefly evaluated, which does not reveal a real or significant impact.</t>
  </si>
  <si>
    <t>2) " Regarding experimentation, even all studies involved short interventions of less than a week, limiting the effectiveness of chatbot support [22]"</t>
  </si>
  <si>
    <t>3) (Implementation) Small sample sizes affect the external validity of studies.</t>
  </si>
  <si>
    <t>3) " Small sample sizes further reduced the generalizability of findings [27]"</t>
  </si>
  <si>
    <t>4) (Implementation) Key variables such as digital literacy were not considered.</t>
  </si>
  <si>
    <t>4)"Important participant characteristics, such as computer literacy, were rarely considered [28]"</t>
  </si>
  <si>
    <t>5) (Assessment) The use of self-assessments may not be reliable due to subjective biases and a lack of real-time behavioral tracking.</t>
  </si>
  <si>
    <t>5) " Self-report was commonly used, which might be unreliable due to subjective biases and lack of real-time behavior tracking [29]"</t>
  </si>
  <si>
    <t>6) (Evaluation) The level of analysis is very important. For example, analyzing results as a group can hide relevant individual dynamics.</t>
  </si>
  <si>
    <t>6) "The level of analysis is also crucial. Nguyen [21], for example, analyzed the moves and sequences of student discussion at the group level instead of individual level, which may yield different outcomes."</t>
  </si>
  <si>
    <t xml:space="preserve">1) Section 1 (Introduction), p. 1.
</t>
  </si>
  <si>
    <t>2) Section 1 (Introduction), p. 1.</t>
  </si>
  <si>
    <t xml:space="preserve">3) Section 1 (Introduction), p. 1.
</t>
  </si>
  <si>
    <t xml:space="preserve">4) Section 1 (Introduction), page 2.
</t>
  </si>
  <si>
    <t xml:space="preserve">
(5) Subsection 2.2.3 (Challenge), p. 4.</t>
  </si>
  <si>
    <t>(6) Subsection 2.2.3 (Challenge), p. 4.</t>
  </si>
  <si>
    <t>(7) Subsection 2.2.3 (Challenge), p. 4.</t>
  </si>
  <si>
    <t xml:space="preserve"> (8) Subsection 2.2.3 (Challenge), p. 4.</t>
  </si>
  <si>
    <t>(9) Subsection 2.2.3 (Challenge), p. 4.</t>
  </si>
  <si>
    <t>1) The collection of detailed personal information from users for the operation of chatbots is impractical, since many do not generate profiles before using them.</t>
  </si>
  <si>
    <t>1) "...users may not create relevant personal information profiles before using chatbots"</t>
  </si>
  <si>
    <t>2) The manual collection of user profiles involves a high cost of time and resources, and the data also loses validity with the change of users' interests.</t>
  </si>
  <si>
    <t>2) " ...collecting user profiles manually is a process that wastes time and money. In addition, even if time is taken to collect user profiles, these profiles may become invalid over time as users’ interests change."</t>
  </si>
  <si>
    <t>3) A fixed set of attributes is not adequate to represent the diversity of users.</t>
  </si>
  <si>
    <t>3) "Finally, often a fixed set of user attributes is not suitable to describe all users. "</t>
  </si>
  <si>
    <t>4) User modeling based on conversation history data is complex due to the fact that user conversation history data They contain a lot of irrelevant information about the user, as well as relevant information about the user, which prevents the dialog system from collecting personalized user characteristics.</t>
  </si>
  <si>
    <t>4)" However, modelling users based on conversation history data comes with many challenges, mainly due to the fact that user conversation history data contains a large amount of irrelevant information..."</t>
  </si>
  <si>
    <t>5) In implicit persona modeling, capturing personalized traits (interests, values, preferences) not directly expressed in the conversation is challenging, as it requires deep analysis and mining of large volumes of data.</t>
  </si>
  <si>
    <t>5) " Persona Modelling: Implicit user personas refer to personalized traits, such as interests, preferences, values, that users do not explicitly express in the conversation. The challenge lies in capturing thus hidden persona information from users’ behaviour... "</t>
  </si>
  <si>
    <t>6) Data scarcity: Obtaining large-scale datasets for custom dialogs is difficult due to privacy and availability constraints, leading to data scarcity issues during training.</t>
  </si>
  <si>
    <t>6)"Data Scarcity: Obtaining a large-scale dataset for personalized dialogue is difficult due to privacy concerns and data acquisition limitations... "</t>
  </si>
  <si>
    <t>7) Training new models requires large volumes of data that cover different contexts and user needs, which increases the pressure on data collection and quality.</t>
  </si>
  <si>
    <t>7) "Firstly, in order to train the new model, more data is needed to cover a wider range of contexts and user needs, which increases the pressure on data requirements..."</t>
  </si>
  <si>
    <t>8) A new model architecture often increases the complexity of the system, as it requires more computational resources and time to complete the training and inference process.</t>
  </si>
  <si>
    <t>8)"Secondly, introducing a new model architecture typically increases the complexity of the system, which may require more computational resources and time to complete the training and inference process..."</t>
  </si>
  <si>
    <t>9) The structural complexity of a new architecture makes it difficult to understand how the model generates specific responses.</t>
  </si>
  <si>
    <t>9)"Finally, due to the more complex structure of the new model, its interpretability may decrease, making it difficult to understand how the model makes specific responses."</t>
  </si>
  <si>
    <t>Article ID</t>
  </si>
  <si>
    <t>Year of publication</t>
  </si>
  <si>
    <t>ID limitation</t>
  </si>
  <si>
    <t>Summary limitation</t>
  </si>
  <si>
    <t>Category(1)</t>
  </si>
  <si>
    <t>Category(2)</t>
  </si>
  <si>
    <t>Category(3)</t>
  </si>
  <si>
    <t>Category(4)</t>
  </si>
  <si>
    <t>Category(5)</t>
  </si>
  <si>
    <t>2023</t>
  </si>
  <si>
    <t>L1</t>
  </si>
  <si>
    <t>Studies focus on a very specific population (boys with ASD), which limits understanding of how conversational agents perform with other people with neurodevelopmental disorders.</t>
  </si>
  <si>
    <t>Methodological</t>
  </si>
  <si>
    <t>2024</t>
  </si>
  <si>
    <t>There is a gap between the practical development of conversational agents and academic research, which results in little information about technological evolution in formal studies.</t>
  </si>
  <si>
    <t>Formalization of knowledge</t>
  </si>
  <si>
    <t>L2</t>
  </si>
  <si>
    <t>Lack of consensus on the measurement of outcomes in the formal literature.</t>
  </si>
  <si>
    <t>Evaluation</t>
  </si>
  <si>
    <t>2022</t>
  </si>
  <si>
    <t>Lack of agreement regarding terminology (conversational agent and chatbot) and ambiguous terminology. This lack of conceptual clarity limits comparability between studies and affects the construction of cumulative knowledge.</t>
  </si>
  <si>
    <t>Security</t>
  </si>
  <si>
    <t>Methodological limitations. We reviewed secondary studies that do not cover aspects such as development methodology, design, and other data that might be relevant.</t>
  </si>
  <si>
    <t>Performance and performance</t>
  </si>
  <si>
    <t>Interaction with chatbots is limited by privacy concerns, awkwardness, and difficulty in achieving interactions perceived as real, negatively impacting the user experience</t>
  </si>
  <si>
    <t>User Interaction and Experience</t>
  </si>
  <si>
    <t>Design</t>
  </si>
  <si>
    <t>Limited problem-solving ability, limited user acceptance, and technological limitations.</t>
  </si>
  <si>
    <t>Adoption and use</t>
  </si>
  <si>
    <t>Data</t>
  </si>
  <si>
    <t>Designs without clear link to the user's needs or previous designs.</t>
  </si>
  <si>
    <t>Natural Language Processing and Understanding</t>
  </si>
  <si>
    <t>Overload in chatbots when assigned complex tasks or excessive requests resulting in negative consequences for the user and their "businesses" or activities.</t>
  </si>
  <si>
    <t>Chatbots cannot effectively solve complex problems with multiple variables, which restricts their applicability in advanced services.</t>
  </si>
  <si>
    <t>Development</t>
  </si>
  <si>
    <t>L3</t>
  </si>
  <si>
    <t>Limitations of current algorithms to solve problems in real time and difficulty in fully understanding the human conversational system.</t>
  </si>
  <si>
    <t>Regulation and compliance</t>
  </si>
  <si>
    <t>L4</t>
  </si>
  <si>
    <t>The performance of chatbots is directly dependent on the quality of the data and the training of the models. Poor data or poorly trained models limit their capabilities and reduce the quality of responses, even under favorable conditions.</t>
  </si>
  <si>
    <t>L5</t>
  </si>
  <si>
    <t>Chatbots fail to maintain context or focus on the topic of conversation, limiting their autonomy and ability to deliver natural interactions.</t>
  </si>
  <si>
    <t>Ethics</t>
  </si>
  <si>
    <t>L6</t>
  </si>
  <si>
    <t>They don't maintain coherence or consistency in multi-turn conversations.</t>
  </si>
  <si>
    <t>Maintenance and evolution</t>
  </si>
  <si>
    <t>2025</t>
  </si>
  <si>
    <t>Difficulty in obtaining and preserving datasets associated with closed domains.</t>
  </si>
  <si>
    <t>Resources</t>
  </si>
  <si>
    <t>Universities have not yet realized the potential of implementing chatbots.</t>
  </si>
  <si>
    <t>Limited size of datasets, in most cases the size of the dataset does not exceed 5000 pairs of questions and answers, which makes it difficult to develop robust models.</t>
  </si>
  <si>
    <t>Absence of generative solutions, predominance of retrieval or turnkey solutions. Universities continue to use conventional chatbots, evidencing a lag in the adoption of solutions based on generative models.</t>
  </si>
  <si>
    <t>Non-technical reasons such as cost, and ease of implementation when selecting models.</t>
  </si>
  <si>
    <t>Use of self-report questionnaires, which limits the technical validation of the impact of chatbots on students.</t>
  </si>
  <si>
    <t>The results on the influence of chatbots on student motivation are ambiguous, which shows a lack of consensus in the literature.</t>
  </si>
  <si>
    <t>Longitudinal results on interest and confidence in the use of chatbots are inconsistent, limiting the available evidence.</t>
  </si>
  <si>
    <t>Chatbots have limited capacity compared to the pedagogical results of human feedback.</t>
  </si>
  <si>
    <t>Generative model capabilities are not yet integrated into chatbots. Generative AI emerges as an untapped opportunity that can improve the personalization or adaptability of chatbots</t>
  </si>
  <si>
    <t>Some systems use metrics that understand language but not medical concepts. This makes it impossible to evaluate the clinical value of the use of chatbos.</t>
  </si>
  <si>
    <t>Lack of specific unified metrics to evaluate chatbots in the health area, which makes it difficult to compare models or improve results.</t>
  </si>
  <si>
    <t>Use of general metrics for evaluation of LLMs such as BLEU and ROUGE, which evaluate the form of the text, but not its meaning, which can lead to "nice" but incorrect answers.</t>
  </si>
  <si>
    <t>Assessment metrics pay little attention to user-centered elements in healthcare, such as trust building, personalization, empathy, ethics, and emotional support.</t>
  </si>
  <si>
    <t>Indispensable, multifaceted, and user-centered evaluation metrics need to be addressed to comprehensively evaluate healthcare chatbots, for example, it is not evaluated whether the chatbot reasons correctly, if it has updated information, if it "invents" medical responses (called hallucinations) and its latency.</t>
  </si>
  <si>
    <t>Lack of robust evidence on the diagnostic effectiveness of the use of chatbots in mental health.</t>
  </si>
  <si>
    <t>Chatbots are at risk of having clinical errors in complex cases.</t>
  </si>
  <si>
    <t>Some caution should be exercised when interpreting the available evidence for chatbots due to concerns about risk of bias, heterogeneity, lack of long-term follow-up assessments, and user engagement issue.</t>
  </si>
  <si>
    <t>There are no clear guidelines or protocols for reporting harm caused by chatbots in mental health clinical studies.</t>
  </si>
  <si>
    <t>There isn't enough data to train educational chatbots.</t>
  </si>
  <si>
    <t>Current evidence is limited to the immediate effects of chatbot use on learning.</t>
  </si>
  <si>
    <t>Most studies only analyze the impact of chatbots without delving into variations based on student characteristics that may be different such as age, prior knowledge or learning styles. This limits the understanding of its effectiveness for different profiles.</t>
  </si>
  <si>
    <t>Short duration of interventions in studies, i.e. only short-term effects are assessed. This implies that you can't know if the benefits of the chatbot are sustainable.</t>
  </si>
  <si>
    <t>Studies with few participants make it difficult to get representative results and detect real effects. In this case, more than half of the studies had samples of 75 or fewer and limited evidence.</t>
  </si>
  <si>
    <t>The results cannot be applied to people with low digital literacy, because the volunteer participants were technologically savvy.</t>
  </si>
  <si>
    <t>Lack of conversational fluency in existing systems. When the system responds without coherence, the illusion of genuine intelligence is broken and frustration is generated in the user.</t>
  </si>
  <si>
    <t>Limited assessment of conversational coherence. Current tools do not measure whether the agent maintains thematic consistency when the user changes topic or intent.</t>
  </si>
  <si>
    <t>Problems in responses generated by automatic models, since generative systems can learn biases from human language, such as toxicity or cultural prejudices.</t>
  </si>
  <si>
    <t>Difficulty in adapting the dialogue to vulnerable users such as children and the elderly. This population requires a more controlled and culturally sensitive dialogue.</t>
  </si>
  <si>
    <t>2020</t>
  </si>
  <si>
    <t>Rule-based chatbots work well on closed topics, but they lose effectiveness when the language is free or natural.</t>
  </si>
  <si>
    <t>Chatbots based on pattern matching don't consider conversational history or context, which makes the chatbot less natural.</t>
  </si>
  <si>
    <t>Problems of generating text by Markov strings, since although grammatically a sentence may be fine, the content may lack semantic sense.</t>
  </si>
  <si>
    <t>The encoder–decoder model with attention and beam search is only suitable for short conversations, which limits its performance in prolonged dialogues.</t>
  </si>
  <si>
    <t>The "bag of words" model represents a text as a set of words without considering the order in which they appear, that is, it only matters which words are present and how many times they appear, so this is a limitation in the chatbots that implement it. If the chatbot ignores word order, it may lose the original intent and meaning.</t>
  </si>
  <si>
    <t>The model based on the HRED architecture, which combines RNN and GRU with beam search decoding, tends to generate generic responses such as "I don't know", which limits the diversity and naturalness of the dialogue.</t>
  </si>
  <si>
    <t>L7</t>
  </si>
  <si>
    <t>Although the model uses Maximum Mutual Information as an objective function, it does not incorporate essential factors such as grounding, personality or intention, which restricts naturalness and conversational coherence.</t>
  </si>
  <si>
    <t>L8</t>
  </si>
  <si>
    <t>The model based on an encoder–decoder architecture with LSTM incorporates an intent structure, but is limited to a specific type of intent, which reduces its flexibility for different conversational contexts.</t>
  </si>
  <si>
    <t>L9</t>
  </si>
  <si>
    <t>In chatbots that employ the character-based neural conversation model, the system does not recognize user emotions, limiting conversational empathy.</t>
  </si>
  <si>
    <t>L10</t>
  </si>
  <si>
    <t>The chatbot is based on an answer retrieval system, so it does not generate new content or fully adapt to the conversational context.</t>
  </si>
  <si>
    <t>L11</t>
  </si>
  <si>
    <t>In chatbots that use the "Variational Hierarchical Recurrent Encoder–Decoder" model, it has been observed as a limitation that the model tends to generate long sentences consistently, even when a shorter and more adequate response would be expected.</t>
  </si>
  <si>
    <t>L12</t>
  </si>
  <si>
    <t>Systems trained on ill-defined rewards can give inconsistent or suboptimal responses. (Reinforcement Learning model + SEQ2SEQ model).</t>
  </si>
  <si>
    <t>L13</t>
  </si>
  <si>
    <t>The HRED model carefully needs a lot of training data to improve its performance.</t>
  </si>
  <si>
    <t>L14</t>
  </si>
  <si>
    <t>The increase in the number of previous appointments improves the quality of response, but increases the cost in time and computational resources.</t>
  </si>
  <si>
    <t>L15</t>
  </si>
  <si>
    <t>The model performs well with short sentences, but its effectiveness decreases in long or complex sentences.</t>
  </si>
  <si>
    <t>L16</t>
  </si>
  <si>
    <t>The bidirectional RNN-based model that generates responses from keywords produces shorter replies than seq2seq approaches, reducing conversational naturalness.</t>
  </si>
  <si>
    <t>L17</t>
  </si>
  <si>
    <t>The hybrid model that combines retrieval and response generation has not been evaluated in goal-oriented systems, which limits the validation of its performance in specific tasks.</t>
  </si>
  <si>
    <t>L18</t>
  </si>
  <si>
    <t>The generator-discriminator model applied to natural language processing performs poorly when the difference between the generated and the real sequences is minimal.</t>
  </si>
  <si>
    <t>L19</t>
  </si>
  <si>
    <t>In the seq2seq model that integrates external knowledge bases such as Amazon or Wikipedia, irrelevant or contradictory facts can be incorporated, affecting the coherence of the answers.</t>
  </si>
  <si>
    <t>L20</t>
  </si>
  <si>
    <t>The RNN-based model, which processes expressions using bag of words, embeddings and entity extraction, has not yet been implemented in a real dialogue system, which limits the validation of its practical effectiveness.</t>
  </si>
  <si>
    <t>L21</t>
  </si>
  <si>
    <t>The Knowledge-guided Conditional Variational AutoEncoder (CVAE)-based model could be improved by deeper neural networks and more explicit integration of linguistic phenomena, suggesting a limitation in its current language modeling capacity.</t>
  </si>
  <si>
    <t>L22</t>
  </si>
  <si>
    <t>The integration of a common-sense knowledge base is limited to retrieval-based models, so it cannot be applied to generative or mixed approaches.</t>
  </si>
  <si>
    <t>L23</t>
  </si>
  <si>
    <t>In the LSTM-based model with policy network, the policy network-only upgrade offers limited performance improvements compared to full use of Reinforcement Learning.</t>
  </si>
  <si>
    <t>L24</t>
  </si>
  <si>
    <t>The Seq2Seq model with memory network is trained only on the Person-Chat set, so it does not autonomously learn the user's personality from the conversation history or retain it in the long term.</t>
  </si>
  <si>
    <t>L25</t>
  </si>
  <si>
    <t>Although default statement regularization mitigates VAE degeneracy, the model exhibits overfitting when trained with the Cornell Movie Dialog Dataset set.</t>
  </si>
  <si>
    <t>L26</t>
  </si>
  <si>
    <t>In DI-VAE and DI-VST models based on VAEs with discrete latent variables, the ability to learn context-dependent latent actions can still be improved.</t>
  </si>
  <si>
    <t>L27</t>
  </si>
  <si>
    <t>Although the DialogWAE model with Gaussian mixing network improves dialogue generation, its performance decreases in internal diversity metrics due to the excessive length of the responses generated.</t>
  </si>
  <si>
    <t>L28</t>
  </si>
  <si>
    <t>The model that combines HRED and GAN with teacher forcing lacks an evaluation carried out by users, which limits the validation of the conversational quality generated.</t>
  </si>
  <si>
    <t>L29</t>
  </si>
  <si>
    <t>In the adversarial trained model, which uses a CNN encoder and an LSTM decoder to increase the diversity of responses, the distributional discrepancy between the actual and generated responses is not yet addressed.</t>
  </si>
  <si>
    <t>L30</t>
  </si>
  <si>
    <t>Although the transformer's encoder-based model applies word masking to improve generation, it still fails to adequately capture the complex linguistic phenomena present in natural conversations.</t>
  </si>
  <si>
    <t>The use of text interaction predominates, which could limit the agent's ability to capture other types of details such as visual, auditory or emotional details of his environment.</t>
  </si>
  <si>
    <t>Traditional systems have little capacity to adapt and handle complex tasks.</t>
  </si>
  <si>
    <t>A structured and unified view of the design of multi-agent systems based on LLMs is lacking, which limits the coordinated development of the field.</t>
  </si>
  <si>
    <t>Contextual agent profiling is costly in time and effort, limiting scalability.</t>
  </si>
  <si>
    <t>The predefined generation of agent profiles can lose control over them, affecting the personalization and accuracy of agent behavior</t>
  </si>
  <si>
    <t>Obtaining qualitative feedback was limited, as although many students tested the prototype, only a small proportion agreed to share their data and experiences.</t>
  </si>
  <si>
    <t>The evaluations carried out were limited in scope, as the workshop was attended by only four people.</t>
  </si>
  <si>
    <t>Uneven value perceived by users as test users did not observe a value in the functionalities.</t>
  </si>
  <si>
    <t>2019</t>
  </si>
  <si>
    <t>Lack of rigor in how case studies are reported with health chatbots, which affects the ability to replicate or compare results.</t>
  </si>
  <si>
    <t>The social implications of the use of chatbots in sensitive contexts such as health are not addressed.</t>
  </si>
  <si>
    <t>As the area of chatbots is relatively new, most of the reported work is in terms of developing chatbots from scratch rather than doing systematic reviews or larger studies.</t>
  </si>
  <si>
    <t>Reports on the use of chatbots lack methodological rigor and standardization.</t>
  </si>
  <si>
    <t>The role of human support (such as doctors or therapists) during chatbot interventions is not detailed in the primary studies. Supportive intervention has been largely overlooked in the primary studies reviewed.</t>
  </si>
  <si>
    <t>Chatbots have limited functions due to the restrictions of the messaging platforms on which they operate, which reduces their capacity in front of applications or portals. In addition, they can generate inaccurate answers to complex or out-of-context queries.</t>
  </si>
  <si>
    <t>Usability barriers for some patients, as some users may find it difficult to download and navigate new applications.</t>
  </si>
  <si>
    <t>Limitations of technological access, most applications require the patient to have a smartphone, and some may be available only on certain operating systems.</t>
  </si>
  <si>
    <t>Constant communication can generate in patients the perception of permanent availability, which could cause an overload in the system's resources.</t>
  </si>
  <si>
    <t>Limitation in emotional understanding. Humans can notice tone and subtext in a way that a bot cannot.  This difference requires collaboration between service bots and specialized human professionals, towards mixed work teams.</t>
  </si>
  <si>
    <t>Language service bots use fixed rules to generate controlled conversations. These bots do not correct errors on their own, so they require human intervention in the event of interpretation errors.</t>
  </si>
  <si>
    <t>Difficulty of maintenance and improvement. AI-based service bots are more conversational and personalized than rule-based bots. However, they require large volumes of data and human training for even basic tasks and their failures are difficult to correct or improve.</t>
  </si>
  <si>
    <t>There is a risk of bias. Bots can learn to reproduce biases based on the data collected, for example, demographic discrimination. Need for ethical oversight and bias correction.</t>
  </si>
  <si>
    <t>Lack of control over learning In social networks, bots can be influenced by malicious users, as happened with Microsoft's Tay.</t>
  </si>
  <si>
    <t>Ethical risk: When bots impersonate humans, they can make inappropriate decisions in the face of undetected contextual changes.</t>
  </si>
  <si>
    <t>Service bots also have excessive access and privileges that put them at risk of cyberattacks</t>
  </si>
  <si>
    <t>Triggering inappropriate behaviors. Customers are more likely to act unethically or inappropriately when interacting with service bots</t>
  </si>
  <si>
    <t>Rejection (by users) is related to the device's autonomous decision-making capacity, privacy control and interaction style, when the DVA (Digital Virtual Assistant) acts as if it were a friend.</t>
  </si>
  <si>
    <t>The more autonomous a smart product is, the more complex and risky it is for the user.</t>
  </si>
  <si>
    <t>Participants express concerns about technical dependence and external control by the device.</t>
  </si>
  <si>
    <t>The lack of possibility of intervention in autonomous systems reduces the intention of use, since the restriction of control and self-determination generates negative perceptions.</t>
  </si>
  <si>
    <t>According to the responses collected, there is concern about the vulnerability of systems to hacks and the possible exposure of personal data.</t>
  </si>
  <si>
    <t>Fear of external control or manipulation is considered a perceived risk of digital voice assistants</t>
  </si>
  <si>
    <t>A lack of clarity about what the data will be used for creates discomfort.</t>
  </si>
  <si>
    <t>The continuous collection of data by the device generates concern among users, evidencing limitations in the protection of privacy.</t>
  </si>
  <si>
    <t>The interviewees fear that criminal activities (robbery, burglary) will be facilitated.</t>
  </si>
  <si>
    <t>The fear of intrusion into user privacy is referred to as a perceived risk of digital voice assistants.</t>
  </si>
  <si>
    <t>That the user is in control of the device, dominates it, and gives commands to it are considered prerequisites for using a digital voice assistant.</t>
  </si>
  <si>
    <t>Unwanted anthropomorphism: discomfort with emotional or humanized interactions. The emotional and empathetic tone of the VAD is rejected and identified as an obstacle to its use.</t>
  </si>
  <si>
    <t>Neural approaches require large volumes of data to train the model, making it difficult to apply it in contexts where this data is not available.</t>
  </si>
  <si>
    <t>Creating annotated datasets for specific domains involves considerable expenditure in time and resources.</t>
  </si>
  <si>
    <t>In classification methods for dialog state tracking (DST), the lack of sufficient training data causes difficulties in handling unseen terms and limits generalization to new domains.</t>
  </si>
  <si>
    <t>Reinforcement learning requires interaction with humans as a training environment, which implies high costs in time and resources.</t>
  </si>
  <si>
    <t>The use of manually defined rewards, for example, task completion rate or number of shifts, does not always accurately reflect the quality of the system.</t>
  </si>
  <si>
    <t>In reinforcement learning models, it is common to use user simulators. User simulators cannot fully reproduce real human behavior, which can lead to models with poor performance in real interactions.</t>
  </si>
  <si>
    <t>Difficulty in constructing knowledge base queries in end-to-end approaches due to the absence of an explicit representation of the state of the dialogue. The dialog state is the structured representation of the relevant information that has been exchanged so far in the conversation (e.g., slot/slot values, user intent, cumulative context), and serves as a reference for deciding on the next steps in the interaction and generating accurate responses</t>
  </si>
  <si>
    <t>Data-driven, task-oriented dialog systems require detailed annotations (e.g., dialog act and status tags), which increases the complexity and cost of development.</t>
  </si>
  <si>
    <t>For machine learning-based models, in real-world scenarios, the distribution of training and test data may differ, especially when there is little data in the target task and abundant data in a different task.</t>
  </si>
  <si>
    <t>Estimation of the reward signal in dialog policy learning is difficult to obtain in real applications, which limits the training of reinforcement learning models (unsupervised learning).</t>
  </si>
  <si>
    <t>Ad-hoc trained models typically perform poorly in real-world applications that include inputs outside the original domain or distribution.</t>
  </si>
  <si>
    <t>The scarcity of data is a critical constraint to the development of task-oriented dialogue systems, as the collection of sufficient data per domain requires high time and resources.</t>
  </si>
  <si>
    <t>Automating household chores can reduce users' physical activity, increasing health risks.</t>
  </si>
  <si>
    <t>Unemployment risk: Automation can affect jobs such as housekeepers or gardeners.</t>
  </si>
  <si>
    <t>Physical risk due to mechanical errors. Physical errors of robots can cause serious damage if they interact with humans.</t>
  </si>
  <si>
    <t>Some robots designed for companionship could reduce human interaction and increase isolation</t>
  </si>
  <si>
    <t>The collection of personal data by virtual assistants may compromise user privacy.</t>
  </si>
  <si>
    <t>Mobile health apps often use graphs and figures to represent information, even though graphic illiteracy is a significant problem even in developed countries.</t>
  </si>
  <si>
    <t>Prolonged interaction with assistive robots can reduce human social interaction and lead to emotional dependency</t>
  </si>
  <si>
    <t>The extensive use of conversational assistants for commercial purposes can induce bias, content manipulation, or unemployment in related professions.</t>
  </si>
  <si>
    <t>Today's virtual assistants have limitations in terms of openness and personalization, as they depend on functionalities predefined by their manufacturers.</t>
  </si>
  <si>
    <t>The lack of empirical evidence in diverse contexts limits the ability to establish effective guidelines, posing the challenge of validating these technologies in different cultural settings.</t>
  </si>
  <si>
    <t>Today's virtual assistants rely on conditional rules and can't answer questions outside of their knowledge base.</t>
  </si>
  <si>
    <t>A theoretical limitation persists on AI's ability to generate creative communication and construct responses without relying on a predefined knowledge base.</t>
  </si>
  <si>
    <t>At the time of writing, there are no known virtual assistants that benefit from contextual data.</t>
  </si>
  <si>
    <t>Existing systems collect limited sensor and contextual data, often neglecting most of the sensors available on the device.</t>
  </si>
  <si>
    <t>Contextual Data Collection Poses Privacy Risks</t>
  </si>
  <si>
    <t>Handheld devices have limitations for automatic and accurate recording of physical activities, depending on the user's manual input.</t>
  </si>
  <si>
    <t>The appearances of existing virtual assistants are limited to simple graphical user interfaces, which show the amplitudes of the audio signal.</t>
  </si>
  <si>
    <t>The creation of overly humanized agents can generate discomfort or rejection due to the effect of the "uncanny valley".</t>
  </si>
  <si>
    <t>Today's virtual assistants are limited to static devices, restricting their physical interaction with the environment.</t>
  </si>
  <si>
    <t>It's unclear to what extent attendees must make autonomous decisions. On the one hand, it can limit the autonomy of users to control the system, on the other, it could facilitate the establishment of trust between the user and the system, because unconditional obedience is not typical in human communication.</t>
  </si>
  <si>
    <t>The autonomy of intelligent systems implies security risks, since wireless attacks could allow control of the device by external agents.</t>
  </si>
  <si>
    <t>While wireless connectivity improves the user experience, it maintains inherent risks such as network failures, vulnerability to privacy breaches, and cloud service dependency.</t>
  </si>
  <si>
    <t>Machine learning algorithms require large volumes of data and specialized hardware, making it difficult to train and run on small or low-cost devices with limited battery.</t>
  </si>
  <si>
    <t>2018</t>
  </si>
  <si>
    <t>Virtual assistants have faced evolutionary limitations depending on their technological approach: from restricted knowledge in script-based systems, to lack of emotional and personality coherence in advanced models of prolonged conversation.</t>
  </si>
  <si>
    <t>Evaluating the performance of social chatbots is complex, since unlike task-completion-oriented systems, there is no standard metric equivalent to the task success rate. Traditional methods such as the Turing test are not suitable for measuring emotional engagement with users.</t>
  </si>
  <si>
    <t>Incomplete or ambiguous information can reduce the effectiveness of proactive assistance in social chatbots.</t>
  </si>
  <si>
    <t>(There are no clear rules for how medical chatbots should work.) Patients' confidence and willingness to use medical chatbots remains limited, in part due to a lack of standardization in their development.</t>
  </si>
  <si>
    <t>Chatbots with rigid scripts don't respond well to spontaneous questions. Chatbots lack the sophistication needed for meaningful dialogue.</t>
  </si>
  <si>
    <t>The chatbots were briefly evaluated, which does not reveal a real or significant impact.</t>
  </si>
  <si>
    <t>Small sample sizes affect the external validity of studies.</t>
  </si>
  <si>
    <t>Key variables such as digital literacy were not considered.</t>
  </si>
  <si>
    <t>The use of self-assessments may not be reliable due to subjective biases and a lack of real-time behavioral tracking.</t>
  </si>
  <si>
    <t>The level of analysis is very important. For example, analyzing results as a group can hide relevant individual dynamics.</t>
  </si>
  <si>
    <t>The absence of detailed descriptions on the design and evaluation of chatbots restricts the possibility of more in-depth comparative analyses.</t>
  </si>
  <si>
    <t>No meta-analysis was performed, which prevents estimating the effect size and obtaining more robust quantitative conclusions</t>
  </si>
  <si>
    <t>Collecting detailed personal information from users for the operation of chatbots is impractical, as many do not generate profiles before using them.</t>
  </si>
  <si>
    <t>The manual collection of user profiles involves a high cost of time and resources, and the data also loses validity with the change of users' interests.</t>
  </si>
  <si>
    <t>A fixed set of attributes is not adequate to represent the diversity of users.</t>
  </si>
  <si>
    <t>Modeling users based on conversational history presents difficulties, since the data includes a large amount of irrelevant information that prevents the user's personalized characteristics from being properly captured.</t>
  </si>
  <si>
    <t>A new model architecture often increases the complexity of the system, as it requires more computational resources and time to complete the training and inference process.</t>
  </si>
  <si>
    <t>The structural complexity of a new architecture makes it difficult to understand how the model generates specific responses.</t>
  </si>
  <si>
    <t>Year of Publication</t>
  </si>
  <si>
    <t>Challenge ID</t>
  </si>
  <si>
    <t>Problem to be solved</t>
  </si>
  <si>
    <t>R1</t>
  </si>
  <si>
    <t>The creation of conversational agents requires advanced technical knowledge of software engineering, which makes it difficult for specialists in "Neurodevelopmental Disorders" (NDD) to participate in the design and customization of the solutions.</t>
  </si>
  <si>
    <t>technical_barrier_domain_experts</t>
  </si>
  <si>
    <t>R2</t>
  </si>
  <si>
    <t>There is no information about conversational agent design guides aimed at people with NDD. Therefore, the researchers propose to investigate modalities of entry and exit, activation actions, gender, appearance and form of the agent.</t>
  </si>
  <si>
    <t>lack_design_guidelines</t>
  </si>
  <si>
    <t>R3</t>
  </si>
  <si>
    <t>Most agents do not recognize emotions, which limits personalization, reduces therapeutic effectiveness, engagement, and usability.</t>
  </si>
  <si>
    <t>Performance and efficiency</t>
  </si>
  <si>
    <t>Interaction and User Experience</t>
  </si>
  <si>
    <t>lack_emotion_recognition</t>
  </si>
  <si>
    <t>R4</t>
  </si>
  <si>
    <t>Automatic speech recognition systems still perform poorly with users with speech disabilities, causing frustration and reducing the agents' usefulness in therapeutic settings</t>
  </si>
  <si>
    <t>low_performance_disabled_users</t>
  </si>
  <si>
    <t>Challenges of integrating and developing bots and conversational agents in real-world environments, especially with Generative AI and LLMs.</t>
  </si>
  <si>
    <t>AI_integration_real_world</t>
  </si>
  <si>
    <t>User interaction issues. Conversational agents face interruptions, noise in the communication channel, and difficulties in maintaining interactions.</t>
  </si>
  <si>
    <t>user_interaction_issues</t>
  </si>
  <si>
    <t>Address the analysis of natural language capabilities and interaction design in conversational agents, as a lack of attention to these aspects may hinder their wider adoption in the industry.</t>
  </si>
  <si>
    <t>Adoption and Use</t>
  </si>
  <si>
    <t>NLP_interaction_design_gap</t>
  </si>
  <si>
    <t>The presence of verbose or irrelevant responses in bots deteriorates usability and communication, causing design and operation flaws.</t>
  </si>
  <si>
    <t>irrelevant_verbose_responses</t>
  </si>
  <si>
    <t>R5</t>
  </si>
  <si>
    <t>Ensure short response times in bots, facing the challenge of balancing modular and maintainable architectures with the speed of interaction necessary to avoid frustration in users.</t>
  </si>
  <si>
    <t>Performance</t>
  </si>
  <si>
    <t>response_latency_tradeoff</t>
  </si>
  <si>
    <t>R6</t>
  </si>
  <si>
    <t>To provide bots with contextualized and actionable information about the development environment, overcoming the difficulty of collecting this knowledge automatically and the current limitations of generative AI.</t>
  </si>
  <si>
    <t>contextual_data_scarcity</t>
  </si>
  <si>
    <t>R7</t>
  </si>
  <si>
    <t>Improve the conversational design, response generation, and graphical interfaces of bots, as these shortcomings reduce the clarity and effectiveness of user communication.</t>
  </si>
  <si>
    <t>conversational_UI_design_gaps</t>
  </si>
  <si>
    <t>R8</t>
  </si>
  <si>
    <t>Develop usability guidelines and standards for bots, as their absence prevents the creation of consistent interfaces and makes it difficult for practitioners to design user-centric experiences.</t>
  </si>
  <si>
    <t>Knowledge Formalization</t>
  </si>
  <si>
    <t>lack_usability_standards</t>
  </si>
  <si>
    <t>R9</t>
  </si>
  <si>
    <t>Updating and adapting chatbots based on generative AI to meet the real expectations of software engineering professionals, avoiding the frustration derived from the mismatch between "hype" and practical usefulness.</t>
  </si>
  <si>
    <t>Maintenance and Evolution</t>
  </si>
  <si>
    <t>expectation_utility_gap</t>
  </si>
  <si>
    <t>R10</t>
  </si>
  <si>
    <t>Train NLP and NLU models for bots, overcoming the difficulty of obtaining sentences for training and reusing them in different contexts, since the assistants operate in very specific environments.</t>
  </si>
  <si>
    <t>training_data_context_scarcity</t>
  </si>
  <si>
    <t>R11</t>
  </si>
  <si>
    <t>Build trust in users against possible malicious intentions of bots, such as stealing sensitive information or inserting harmful code, which hinder safe interaction.</t>
  </si>
  <si>
    <t>user_trust</t>
  </si>
  <si>
    <t>R12</t>
  </si>
  <si>
    <t>Guarantee equity in conversational systems, avoiding biases derived from training data that can produce discriminatory behaviors.</t>
  </si>
  <si>
    <t>model_bias_fairness</t>
  </si>
  <si>
    <t>R13</t>
  </si>
  <si>
    <t>Managing the phenomenon of Uncanny Valley, making bots human enough to improve communication, without causing rejection or discomfort in users.</t>
  </si>
  <si>
    <t>uncanny_valley_management</t>
  </si>
  <si>
    <t>R14</t>
  </si>
  <si>
    <t>Strengthen trust in bots powered by generative AI, facing security risks such as hacks, privacy breaches, and lack of transparency in data management</t>
  </si>
  <si>
    <t>security_privacy_trust</t>
  </si>
  <si>
    <t>R15</t>
  </si>
  <si>
    <t>Improve search mechanisms and establish unified standards for describing and categorizing bots, so that professionals can easily identify the right bot for each problem.</t>
  </si>
  <si>
    <t>classification_search_standars</t>
  </si>
  <si>
    <t>R16</t>
  </si>
  <si>
    <t>Facilitate the configuration and customization of bots, offering more options that allow them to be adapted to different contexts of use.</t>
  </si>
  <si>
    <t>limited_customization_configuration</t>
  </si>
  <si>
    <t>R17</t>
  </si>
  <si>
    <t>Overcoming the restrictions imposed by the terms of service and the regulatory framework of the platforms, which limit the functionalities of bots, reduce their benefits and generate doubts of legal compliance in professionals.</t>
  </si>
  <si>
    <t>framework_regulatory_constraints</t>
  </si>
  <si>
    <t>R18</t>
  </si>
  <si>
    <t>Select the right development framework from the wide variety of frameworks available, which offer similar functionalities and create uncertainty for developers.</t>
  </si>
  <si>
    <t>framework_selection_uncertainty</t>
  </si>
  <si>
    <t>R19</t>
  </si>
  <si>
    <t>Overcoming the lack of clear and accessible documentation in bot frameworks, which makes it difficult for developers to adopt and learn.</t>
  </si>
  <si>
    <t>lack_framework_documentation</t>
  </si>
  <si>
    <t>R20</t>
  </si>
  <si>
    <t>Design bot architectures that are modular and integrable, facing the complexity of managing multiple technologies and communication protocols that are not always compatible between frameworks.</t>
  </si>
  <si>
    <t>multitech_framework_compatibility</t>
  </si>
  <si>
    <t>R21</t>
  </si>
  <si>
    <t>Integrate AI systems into bots in a way that meets non-functional requirements, considering the added complexity of technology integration.</t>
  </si>
  <si>
    <t>R22</t>
  </si>
  <si>
    <t>Strengthen testing activities in bots, overcoming the lack of tools that allow testing human-bot interactions and thus avoiding mistrust in their reliability.</t>
  </si>
  <si>
    <t>Assessment</t>
  </si>
  <si>
    <t>lack_testing_tools</t>
  </si>
  <si>
    <t>R23</t>
  </si>
  <si>
    <t>Improve bot maintenance strategies, making it easier to detect and correct bugs that are hindered by a lack of proper testing and monitoring.</t>
  </si>
  <si>
    <t>maintenance_gaps_testing_monitoring</t>
  </si>
  <si>
    <t>R24</t>
  </si>
  <si>
    <t>Obtain adequate and specific datasets to train bots with AI in the field of software engineering, overcoming the scarcity and difficulty of collecting data that meets contextual requirements.</t>
  </si>
  <si>
    <t>The scarcity and imbalance of data in critical areas, together with the amplification of errors in systems, limit the accuracy, transparency and veracity of chatbots.</t>
  </si>
  <si>
    <t>data_scarcity_imbalance</t>
  </si>
  <si>
    <t>Difficulty expanding or reproducing systems. Dependence on human intervention creates bottlenecks.</t>
  </si>
  <si>
    <t>scalability_human_dependency</t>
  </si>
  <si>
    <t>A large amount of data is required even for a single user.</t>
  </si>
  <si>
    <t>Risk of unintentional leakage of personal data through extraction on pre-trained models. Users fear for their privacy.</t>
  </si>
  <si>
    <t>Lack of anthropomorphic characteristics such as intelligence or empathy that limits the creation of trust between the user and the system.</t>
  </si>
  <si>
    <t>lack_anthropomorphism_trust</t>
  </si>
  <si>
    <t>Lack of metrics to evaluate human-centered dialogue systems. The metrics currently used don't meet user expectations or the nuances of natural conversations.</t>
  </si>
  <si>
    <t>lack_dialogue_evaluation_metrics</t>
  </si>
  <si>
    <t>Develop uniform guidelines and practices for chatbots, balance automation with human control, address the ethical issues of personalization, and encourage the adoption of governance standards across organizations.</t>
  </si>
  <si>
    <t>Regulation and Compliance</t>
  </si>
  <si>
    <t>governance_ethics_standards</t>
  </si>
  <si>
    <t>Increase the adoption and use of conversational agents in domain-specific scenarios (such as health, education, or daily life), surpassing their current use limited to simple tasks.</t>
  </si>
  <si>
    <t>low_adoption_domain_specific</t>
  </si>
  <si>
    <t>To turn conversational agents that are today prototypes or proofs of concept into real and functional tools within their respective domains.</t>
  </si>
  <si>
    <t>prototype_to_production</t>
  </si>
  <si>
    <t>Fully exploit the potential of conversational agents in specific audiences (older people, functional diversity), exploring their characteristics and needs in real contexts.</t>
  </si>
  <si>
    <t>adaptation_specific_users</t>
  </si>
  <si>
    <t>Improve user engagement with conversational agents by adapting human-computer interaction (HCI) features that increase the perceived quality of the experience.</t>
  </si>
  <si>
    <t>low_user_engagement</t>
  </si>
  <si>
    <t>Increase engagement by improving perceived quality, considering not only usability and user satisfaction, but also the security and privacy of the data shared.</t>
  </si>
  <si>
    <t>To expand empirical research on the impact of verbal and nonverbal characteristics of human-computer interaction (such as speech speed or gestures), in order to improve the communicative behaviors of conversational agents.</t>
  </si>
  <si>
    <t>research_verbal_nonverbal_features</t>
  </si>
  <si>
    <t>Explore the adaptation of the communicative process to increase engagement, investigating "individual similarity" through the personalization of the content of responses and non-verbal characteristics such as voice or appearance.</t>
  </si>
  <si>
    <t>personalization_user_profiling_context</t>
  </si>
  <si>
    <t>Design and develop mechanisms that allow the construction of fully customized agents through user profiling and context-awareness techniques, achieving not only functional adequacy but also efficiency in performance.</t>
  </si>
  <si>
    <t>Develop high-level mechanisms and tools that facilitate the personalization of conversational agents, taking as a reference existing solutions (e.g., RASA) but moving towards more structured practices and standards.</t>
  </si>
  <si>
    <t>Define and design clear and structured general practices, as well as tools that integrate user profiling techniques, autonomous goal detection, adaptation of the communication process and integration of contextual data.</t>
  </si>
  <si>
    <t>Address the scarcity of data sources in certain domains, which makes it difficult to build and train machine learning-based models for conversational agents.</t>
  </si>
  <si>
    <t>specific_domain_data_scarcity</t>
  </si>
  <si>
    <t>Develop a clear taxonomy of available data repositories (by domain, purpose, size, type, format, and quality of assessment), which serves as a reference for researchers in analyzing data availability and adequacy.</t>
  </si>
  <si>
    <t>data_repository_taxonomy</t>
  </si>
  <si>
    <t>Expand qualitative analysis methodologies to improve the attributes of perceived quality and functional adequacy of conversational agents, since user perception is key in their evaluation.</t>
  </si>
  <si>
    <t>user_evaluation</t>
  </si>
  <si>
    <t>Identify structural, physical, and psychological barriers in evaluation methodologies, in order to improve user experience and adoption of conversational agents.</t>
  </si>
  <si>
    <t>Develop standardized practices for qualitative analysis focused on perceived quality, which serve as a basis for the evaluation of conversational agents.</t>
  </si>
  <si>
    <t>Extend existing assessment tools with advanced features to test next-generation conversational agents, especially those based on personalization and context awareness.</t>
  </si>
  <si>
    <t>Integrate complex functions into testing methodologies, such as automatic generation of large textual datasets and support for continuous integration.</t>
  </si>
  <si>
    <t>Informal design of the guarantees. Develop formal and structured approaches to the design of assurances in advanced intelligent systems, overcoming the limitations of current informal methods.</t>
  </si>
  <si>
    <t>formal_assurance_design</t>
  </si>
  <si>
    <t>Develop assurance mechanisms to manage the growing complexity, autonomy and lack of predictability of intelligent systems, while also considering their use by diverse audiences in uncertain environments.</t>
  </si>
  <si>
    <t>Evaluate the effectiveness of current approaches to the design of assurances and establish formal principles that guide their application in autonomous and intelligent systems.</t>
  </si>
  <si>
    <t>To develop a classification that relates the capabilities of autonomous intelligent systems with the dimensions of user confidence, allowing the identification of correspondences between the source and target of the assurances.</t>
  </si>
  <si>
    <t>Conduct empirical studies with users to determine which features of intelligent systems affect trust the most.</t>
  </si>
  <si>
    <t>Develop adaptive assurances that not only communicate information to the user ("telling"), but also instruct or guide them ("tutoring") to foster appropriate and sustainable trust in intelligent systems.</t>
  </si>
  <si>
    <t>To explore the concept of tutoring assurances (systems that dynamically adjust their trust mechanisms according to the user's experience, knowledge or state), a field that has not yet been explored.</t>
  </si>
  <si>
    <t>Lack of empathy or personal emotion, privacy, difficulty of use, and feeling of discomfort are identified as factors that harm the user experience with chatbots.</t>
  </si>
  <si>
    <t>negative_user_experience_factors</t>
  </si>
  <si>
    <t>Expand and deepen research in the design of chatbot systems, considering advanced techniques and methods that strengthen human-chatbot interaction as the basis of the field.</t>
  </si>
  <si>
    <t>design_interaction_research</t>
  </si>
  <si>
    <t>Study the new patterns of collaboration between humans and chatbots in work environments, analyzing how interaction and cooperation affect the dynamics of human work</t>
  </si>
  <si>
    <t>Interaction and user experience</t>
  </si>
  <si>
    <t>Improve the user experience and emotional support in interaction with chatbots, through the design of more human-like cues.</t>
  </si>
  <si>
    <t>human_like_interaction_cues</t>
  </si>
  <si>
    <t>Integrate ethical and privacy principles into the development of chatbots, ensuring their responsible and acceptable use in everyday life.</t>
  </si>
  <si>
    <t>ethics_privacy_development</t>
  </si>
  <si>
    <t>Optimize the human-chatbot interaction experience and expand its application in various fields, under the framework of technological ethics.</t>
  </si>
  <si>
    <t>Lack of transparency in how chatbots work or make decisions, since some work as black boxes, use undisclosed training data. This limits user confidence, especially in sensitive sectors such as health, finance, among others.</t>
  </si>
  <si>
    <t>lack_transparency</t>
  </si>
  <si>
    <t>There are biases that lead to unfair responses, lack of cultural sensitivity, understanding of a single language, and restrictions on functionality based on a paid access.</t>
  </si>
  <si>
    <t>Privacy risks due to the collection and handling of personal or sensitive data. Possibility of leakage, misuse, or unauthorized access.</t>
  </si>
  <si>
    <t>Difficulty in determining who is responsible if the chatbot gives incorrect information, biased suggestions, or mishandles sensitive data.</t>
  </si>
  <si>
    <t>Chatbots generate biased or made-up responses (hallucination), which compromise reliability and accuracy.</t>
  </si>
  <si>
    <t>hallucinations_reliability_issues</t>
  </si>
  <si>
    <t>Integration of text, voice, images, and video to improve the user experience.</t>
  </si>
  <si>
    <t>multimodal_integration</t>
  </si>
  <si>
    <t>Develop chatbots with advanced mechanisms for protecting sensitive data, guaranteeing user privacy without compromising the functionality of the system.</t>
  </si>
  <si>
    <t>Implement encryption and differential privacy techniques that ensure the anonymization of data and avoid individual identification in interactions with chatbots.</t>
  </si>
  <si>
    <t>Integrate security and privacy as native components throughout the chatbot development cycle, rather than treating them as downstream add-ons.</t>
  </si>
  <si>
    <t>Apply adversarial training techniques and robust models to strengthen the resistance of chatbots against manipulation or intentional attacks.</t>
  </si>
  <si>
    <t>The field of personality-adaptive chatbots is still at an early stage of development and there is a need to improve existing personality adaptation approaches.</t>
  </si>
  <si>
    <t>Challenge of generating responses similar to human ones and adaptable to the personalities of the users.</t>
  </si>
  <si>
    <t>Difficulties in acquiring and representing personality traits.</t>
  </si>
  <si>
    <t>There is a lack of objective and homogeneous metrics to assess the degree and quality of personality adaptation, complementing or replacing satisfaction surveys.</t>
  </si>
  <si>
    <t>Create consistent, standardized conversational corpora that includes data labeled with users' real personality traits, rather than relying solely on fictional people.</t>
  </si>
  <si>
    <t>Develop models and mechanisms that effectively integrate the user's personality traits into the generation of responses, in order to achieve more human and adaptive interactions.</t>
  </si>
  <si>
    <t>Optimize deep learning algorithms and models used in adaptive chatbots to reduce computational load and improve real-time response generation without sacrificing personalization.</t>
  </si>
  <si>
    <t>Define specific metrics and standards to evaluate the performance of personality-adaptive chatbots, measuring the degree of personalization and consistency of responses with user traits.</t>
  </si>
  <si>
    <t>adaptative_quality_evaluation</t>
  </si>
  <si>
    <t>Limited ability to solve problems, as they offer generic, boring, and simple answers. There is no capacity to handle complex questions or to retrieve conversations after a failure.</t>
  </si>
  <si>
    <t>low_problem_solving_capacity</t>
  </si>
  <si>
    <t>Lack of user acceptance and trust due to negative interactions such as interrupted flow, very strong opinions, lack of realism, and lack of empathy.</t>
  </si>
  <si>
    <t>Usability problems, e.g. difficulties in personalizing the group, responses not adapted to real priorities, speaker recognition errors, latency, lack of emotional regulation in large groups.</t>
  </si>
  <si>
    <t>Performance and Performance</t>
  </si>
  <si>
    <t>usability_issues</t>
  </si>
  <si>
    <t>Ethical aspects, such as privacy concerns, transparency, and control. Lack of clear privacy policies. The challenge is to design chatbots that convey trust.</t>
  </si>
  <si>
    <t>Technical challenges such as lack of adequate data, difficulty in designing dynamic chatbots, chatbot architectures with LLMs still in exploration, and rule-based chatbots with limited support.</t>
  </si>
  <si>
    <t>development_technical_challenges</t>
  </si>
  <si>
    <t>Develop polyadic chatbots capable of learning and adapting in real time to group dynamics and individual differences of users, identifying their communication styles, traits, and behaviors accurately and reliably.</t>
  </si>
  <si>
    <t>Develop and study polyadic chatbots that incorporate and use nonverbal cues (such as gestures, emojis, or body language) to improve communicative fluency, group interaction, and user acceptance.</t>
  </si>
  <si>
    <t>The design of polyadic chatbots lacks theoretical foundations and empirical evaluations. Design principles based on human-computer interaction theories should be established and their impact on user behavior evaluated.</t>
  </si>
  <si>
    <t>Develop localized and culturally adaptive polyadic chatbots, capable of integrating into the social dynamics of different communities, respecting norms and roles, and incorporating community participation mechanisms in their design and evaluation.</t>
  </si>
  <si>
    <t>Adoption and Usage</t>
  </si>
  <si>
    <t>cultural_community_adaptation</t>
  </si>
  <si>
    <t>Develop ethical and explainable polyadic chatbots, integrating transparency, fairness, and privacy protection to foster trust and responsible use in group settings.</t>
  </si>
  <si>
    <t>Explore the integration of large-scale language models (LLMs) to simplify the development of polyadic chatbots, address the complexity of group interaction, and improve the user experience.</t>
  </si>
  <si>
    <t>LLM_integration_development</t>
  </si>
  <si>
    <t>Users expect more human interactions, effective problem solving, and voice recognition.</t>
  </si>
  <si>
    <t>Chatbots have failures to correctly process natural language syntax and semantics.</t>
  </si>
  <si>
    <t>language_processing_issues</t>
  </si>
  <si>
    <t>Develop chatbots with deep understanding, contextual memory, and style customization.</t>
  </si>
  <si>
    <t>Strengthen the development of AI to expand the applications of chatbots in different sectors and respond to new user demands.</t>
  </si>
  <si>
    <t>Investigate the use of LLM-based frameworks and techniques (LangChain, AutoGen, CrewAI) to optimize the development and orchestration of university chatbots.</t>
  </si>
  <si>
    <t>It is necessary to deepen the study of the role of chatbots in student motivation to clarify its real effects.</t>
  </si>
  <si>
    <t>user_motivation</t>
  </si>
  <si>
    <t>Most studies are preliminary, so it is not yet known whether the systems are actually useful in clinical practice.</t>
  </si>
  <si>
    <t>lack_practical_evidence</t>
  </si>
  <si>
    <t>The implementation of chatbot technology in education faces challenges such as ethics, assessment methods, user attitudes, programming complexities, and data integration issues.</t>
  </si>
  <si>
    <t>education_implementation_challenges</t>
  </si>
  <si>
    <t>Difficulty in incorporating chatbots in education, since it requires the development of high-quality chatbot systems, the use of effective evaluation methods and the resolution of ethical problems associated with their use.</t>
  </si>
  <si>
    <t>Research is required on the sustainable impacts and persistence of benefits of using chatbots in the long term in educational settings.</t>
  </si>
  <si>
    <t>long_term_impact</t>
  </si>
  <si>
    <t>Research on how different groups of students interact with chatbot technology is needed to better understand its effect on learning.</t>
  </si>
  <si>
    <t>Studies tend to focus on results but don't delve into what pedagogical strategies chatbots use to achieve them. This limits the understanding of how positive effects are generated.</t>
  </si>
  <si>
    <t>Formalization of Knowledge</t>
  </si>
  <si>
    <t>Few studies examine aspects such as usability, perceived usefulness, satisfaction, and preferences of students and teachers</t>
  </si>
  <si>
    <t>The adoption of AI in education presents ethical, technological, and organizational challenges, such as data management and the possible replacement of teachers by automated systems.</t>
  </si>
  <si>
    <t>There are ethical concerns for the use of AI in the healthcare sector. The doubts are about the responsibility for the diagnostic errors of the transparency of the decisions made by the system.</t>
  </si>
  <si>
    <t>Not all users have access to devices or knowledge to use AI-based programs autonomously.</t>
  </si>
  <si>
    <t>digital_access_gap</t>
  </si>
  <si>
    <t>There are privacy and data protection challenges as these types of systems must strictly comply with security standards when managing personal health data such as medical history or emotions</t>
  </si>
  <si>
    <t>There are security and data protection limitations. Systems are required to prevent information leaks and to offer clear policies on what data is stored and how it is used.</t>
  </si>
  <si>
    <t>It is necessary to develop studies with large samples that guarantee sufficient statistical power to detect improvements, especially in the physiological and psychological benefits derived from the change in health behavior.</t>
  </si>
  <si>
    <t>Methodology</t>
  </si>
  <si>
    <t>sample_representativeness</t>
  </si>
  <si>
    <t>More rigorous research designs, such as randomized controlled trials and their variants, are needed to more accurately assess the effectiveness of chatbots and identify the impact of their different components.</t>
  </si>
  <si>
    <t>research_design_rigour</t>
  </si>
  <si>
    <t>Future studies should employ objective and high-quality measures, such as device recording, to reduce measurement bias and strengthen the validity of the results.</t>
  </si>
  <si>
    <t>measurement_validity</t>
  </si>
  <si>
    <t>Prolonged follow-ups of at least twelve months are required to assess the sustainability of the effects of chatbots over time.</t>
  </si>
  <si>
    <t>It is necessary to continue evaluating different aspects of the user experience, such as the tone, personality, the mode of interaction (text or voice) and the frequency of communication of chatbots.</t>
  </si>
  <si>
    <t>It is necessary to deepen the evaluation of chatbots for behavior change in health, taking advantage of advances in conversational AI and machine learning to improve their accuracy, personalization and effectiveness.</t>
  </si>
  <si>
    <t>Natural Language Processing and Comprehension</t>
  </si>
  <si>
    <t>Chatbot programs aimed at health promotion should be planned for long-term implementation, fostering collaborations between academia, the technology industry, and health systems to ensure their scalability.</t>
  </si>
  <si>
    <t>long_term_implementation_scalability</t>
  </si>
  <si>
    <t>Optimizing the target function to better integrate conversational context remains a challenge.</t>
  </si>
  <si>
    <t>conversational_context_optimization</t>
  </si>
  <si>
    <t>Developing models that understand the user's style and mood remains a challenge.</t>
  </si>
  <si>
    <t>Getting the chatbot to generate conversation topics autonomously remains a challenge.</t>
  </si>
  <si>
    <t>autonomous_content_generation</t>
  </si>
  <si>
    <t>One challenge is to integrate information from different sources such as computer vision or text, to achieve more natural and accurate interactions.</t>
  </si>
  <si>
    <t>The need for agents to communicate, reason, and evolve in interactive environments involves complex technical challenges, such as designing effective mechanisms for collaboration, reflection, and decision-making.</t>
  </si>
  <si>
    <t>Usability issues such as: wording difficulties, incompatible synchronization with the device, speech recognition issues, time-consuming, general rejection of voice control mode, and general pronunciation issues.</t>
  </si>
  <si>
    <t>Overcome difficulties in the integration of ACs (Conversational Agents) in daily life such as: learning difficulties to use CAs, incompatibility with other tools, obtaining health-related information.</t>
  </si>
  <si>
    <t>daily_life_integration</t>
  </si>
  <si>
    <t>One of the main challenges identified is the concern of older adults for privacy when interacting with conversational assistants.</t>
  </si>
  <si>
    <t>Source of worries and concerns such as fear of losing competencies or capabilities, concern about agent-related risks, fear of ruining the agent, lack of confidence in the agent's responses, and lack of perceived usefulness</t>
  </si>
  <si>
    <t>Challenges in guaranteeing transparency in the handling of data, avoiding its improper use and ensuring its anonymization to generate trust among students and university staff.</t>
  </si>
  <si>
    <t>The use of big data technology involves challenges related to data protection, the identification of relevant information and the cleaning techniques necessary for its effective analysis.</t>
  </si>
  <si>
    <t>bigdata</t>
  </si>
  <si>
    <t>Making ethical and responsible decisions with multiple data sources is a challenge for systems.</t>
  </si>
  <si>
    <t>The large number of custom developments highlights the challenge of creating specialized platforms that address the particularities of the health domain.</t>
  </si>
  <si>
    <t>specialized_platforms</t>
  </si>
  <si>
    <t>According to the Efficiency Model of Support, there are multiple points where the use of the chatbot can fail, and these are not always considered by developers: a) Usability failures (design problems, ease of use), b) Engagement failures (lack of motivation or intention to use the chatbot), c) Fit failures (the chatbot does not fit the user's needs),   d) Knowledge failures (misuse due to lack of understanding) and e) Implementation failures (inability to integrate the use of the chatbot into daily life).</t>
  </si>
  <si>
    <t>There are ethical doubts about delegating health decisions to automated programs</t>
  </si>
  <si>
    <t>Constant evaluation is required to detect issues such as failures, privacy violations, or harm to patients.</t>
  </si>
  <si>
    <t>The effectiveness of the chatbot depends on its accuracy, which requires careful design and an extensive database.</t>
  </si>
  <si>
    <t>accuracy_design_data</t>
  </si>
  <si>
    <t>More research is required on the credibility, accuracy, and patient benefits of mHealth apps, both when they work independently and when integrated with the electronic health record.</t>
  </si>
  <si>
    <t>Service bots must undergo audits and continuous monitoring to prevent breaches and ensure quality of service</t>
  </si>
  <si>
    <t>Future research should quantitatively investigate the relationships between user profiles and acceptance.</t>
  </si>
  <si>
    <t>The authors suggest that smart products should be designed to provide feedback to the user on actions taken and allow the user to intervene or cancel actions.</t>
  </si>
  <si>
    <t>user_control_intervention</t>
  </si>
  <si>
    <t>One of the biggest challenges in the area is learning in resource-poor environments.</t>
  </si>
  <si>
    <t>low_resource_learning</t>
  </si>
  <si>
    <t>Apply and optimize transfer learning techniques to leverage data and models from different domains and reduce the need for target domain data.</t>
  </si>
  <si>
    <t>transfer_learning</t>
  </si>
  <si>
    <t>Therefore, it is necessary to build a reward estimation model for learning dialogue policies, particularly during RL training.</t>
  </si>
  <si>
    <t>reward_estimation_reinforcement_learning</t>
  </si>
  <si>
    <t>Integrating ontologies into task-oriented dialogue models represents a challenge due to the large scale of domains and the dependence on specific schemas, which makes it difficult to transfer them to new tasks and incorporate external context and knowledge.</t>
  </si>
  <si>
    <t>Processing and understanding of natural language</t>
  </si>
  <si>
    <t>ontology_integration_dialogue</t>
  </si>
  <si>
    <t>A key challenge is to design task-oriented dialogue systems capable of learning holistically, combining reasoning, decision-making and language generation, from both offline and online interactions.</t>
  </si>
  <si>
    <t>integrated_learning</t>
  </si>
  <si>
    <t>Further research on safety is needed to prevent accidents resulting from physical interaction between humans and robots.</t>
  </si>
  <si>
    <t>Design policies and systems that integrate ethical, security, and privacy measures to mitigate the risks associated with home automation.</t>
  </si>
  <si>
    <t>Leverage virtual assistants to improve accessibility and communication with people with disabilities or low technological literacy.</t>
  </si>
  <si>
    <t>user_accesibility</t>
  </si>
  <si>
    <t>Longitudinal research is required to understand the psychological effects of human attachment to virtual assistants and social robots.</t>
  </si>
  <si>
    <t>The ethical design of virtual assistants must consider the rights of users and prevent unintended or harmful consequences.</t>
  </si>
  <si>
    <t>Ethical</t>
  </si>
  <si>
    <t>Develop algorithms capable of generating dynamic responses in real time, beyond static datasets.</t>
  </si>
  <si>
    <t>Design agents capable of maintaining an adaptive dialogue and accessing external sources to improve the consistency of their responses</t>
  </si>
  <si>
    <t>Achieve accurate identification of different users in shared environments to deliver effective personalization.</t>
  </si>
  <si>
    <t>multiuser</t>
  </si>
  <si>
    <t>Develop systems capable of recognizing activities from an external perspective, improving accuracy compared to portable devices.</t>
  </si>
  <si>
    <t>user_activity_context</t>
  </si>
  <si>
    <t>The development of fixed contextual sensing systems is a promising challenge to expand the coverage and usefulness of non-mobile assistants.</t>
  </si>
  <si>
    <t>Balance attendee functionality with privacy protection, by processing locally and disconnecting from external networks.</t>
  </si>
  <si>
    <t>Developing more expressive and natural interfaces remains a challenge due to the nascent nature of technology.</t>
  </si>
  <si>
    <t>Promote the autonomy of intelligent systems while mitigating risks such as malware or takeover by cybercriminals.</t>
  </si>
  <si>
    <t>Personal assistants must operate in multiple open contexts, which is technically complex.</t>
  </si>
  <si>
    <t>open_context</t>
  </si>
  <si>
    <t>The chatbot must avoid offensive or biased responses, which requires robust ethical filters.</t>
  </si>
  <si>
    <t>The development of social chatbots with full human understanding remains a challenge, requiring advances in empathic modeling, knowledge and memory management, interpretable intelligence, neuro-symbolic reasoning, multimodal capabilities, and emotional reward calibration.</t>
  </si>
  <si>
    <t>full_human_understanding</t>
  </si>
  <si>
    <t>The design and implementation of social chatbots requires ethical guidelines and safety mechanisms that prevent physical or mental harm, as well as continuous evaluation to ensure responsible use.</t>
  </si>
  <si>
    <t>The challenge of building patients' confidence and willingness to use chatbots in medical contexts remains.</t>
  </si>
  <si>
    <t>One way to increase patient interaction with healthcare chatbots, and thus the effectiveness of chatbots, is to improve the user experience by carefully selecting the language used and employing a more human personality to gain users' trust.</t>
  </si>
  <si>
    <t>Performance &amp; Performance</t>
  </si>
  <si>
    <t>Adoption &amp; Usage</t>
  </si>
  <si>
    <t>Interaction &amp; User Experience</t>
  </si>
  <si>
    <t>Promoting the adoption of chatbots in non-technical disciplines requires teacher training that overcomes technophobia and encourages the pedagogical use of these tools.</t>
  </si>
  <si>
    <t>The main pedagogical challenge is to balance the personalization of learning with the development of critical thinking and student autonomy.</t>
  </si>
  <si>
    <t>personalization_autonomy_balance</t>
  </si>
  <si>
    <t>It is necessary to delve into the design of chatbots capable of offering emotional and motivational support in collaborative environments.</t>
  </si>
  <si>
    <t>Improving the validity of the results requires the use of mixed methods of evaluation that integrate quantitative and qualitative analyses.</t>
  </si>
  <si>
    <t>The development of new architectures for the generation of personalized dialogue implies greater requirements for data, labeling and advanced algorithms, which increases the complexity of the model and makes it difficult to implement and deploy.</t>
  </si>
  <si>
    <t>Training custom models requires a lot of user data, posing ethical, privacy, and management challenges.</t>
  </si>
  <si>
    <t>Personal interests and preferences can change over time, and custom dialogue systems need to be robust enough to adapt to new users and evolving scenarios to meet their personalized needs.</t>
  </si>
  <si>
    <t>In implicit persona modeling, capturing personalized traits (interests, values, preferences) not directly expressed in the conversation is challenging, as it requires deep analysis and mining of large volumes of data.</t>
  </si>
  <si>
    <t>Data scarcity: Obtaining large-scale datasets for custom dialogs is difficult due to privacy and availability constraints, leading to data scarcity issues during training.</t>
  </si>
  <si>
    <t>Training new models requires large volumes of data that cover different contexts and user needs, which increases the pressure on data collection and quality.</t>
  </si>
  <si>
    <t>Custom dialogue systems can also integrate multimodal technologies to further enhance the dialogue experience and meet the personalized needs of users. By integrating multimodal technologies, individual user characteristics can be addressed.</t>
  </si>
  <si>
    <t>Strengthening the ability of dialogue systems to model context, through the use of conversational history, dynamic updating of personality traits, and long-term dependency management, is a key direction for smarter, more personalized interactions.</t>
  </si>
  <si>
    <t>In terms of social intelligence, personalized dialogue systems need to have the ability to recognize and generate emotional content.</t>
  </si>
  <si>
    <t>Simulating human social behaviors and adapting to different social contexts represents a technical and conceptual challenge in personalized dialogue systems.</t>
  </si>
  <si>
    <t>User interaction and experience</t>
  </si>
  <si>
    <t>Unified Concept</t>
  </si>
  <si>
    <t>Pre-LLM</t>
  </si>
  <si>
    <t xml:space="preserve">Transitional AI-based </t>
  </si>
  <si>
    <t>LLM-influenced</t>
  </si>
  <si>
    <r>
      <rPr>
        <sz val="12"/>
        <color rgb="FF333333"/>
        <rFont val="Arial"/>
        <family val="2"/>
      </rPr>
      <t xml:space="preserve">Fabio Catania, Micol Spitale, and Franca Garzotto. 2023. </t>
    </r>
    <r>
      <rPr>
        <b/>
        <sz val="12"/>
        <color rgb="FF145F82"/>
        <rFont val="Arial"/>
        <family val="2"/>
      </rPr>
      <t>Conversational Agents in Therapeutic Interventions for Neurodevelopmental Disorders: A Survey</t>
    </r>
    <r>
      <rPr>
        <sz val="12"/>
        <color rgb="FF333333"/>
        <rFont val="Arial"/>
        <family val="2"/>
      </rPr>
      <t>. ACM Comput. Surv. 55, 10, Article 209 (October 2023), 34 pages. https://doi.org/10.1145/3564269</t>
    </r>
  </si>
  <si>
    <t>Transitional AI-based</t>
  </si>
  <si>
    <r>
      <rPr>
        <sz val="12"/>
        <color rgb="FF333333"/>
        <rFont val="Arial"/>
        <family val="2"/>
      </rPr>
      <t xml:space="preserve">Stefano Lambiase, Gemma Catolino, Fabio Palomba, and Filomena Ferrucci. 2024. </t>
    </r>
    <r>
      <rPr>
        <b/>
        <sz val="12"/>
        <color rgb="FF145F82"/>
        <rFont val="Arial"/>
        <family val="2"/>
      </rPr>
      <t>Motivations, Challenges, Best Practices, and Benefits for Bots and Conversational Agents in Software Engineering: A Multivocal Literature Review</t>
    </r>
    <r>
      <rPr>
        <sz val="12"/>
        <color rgb="FF333333"/>
        <rFont val="Arial"/>
        <family val="2"/>
      </rPr>
      <t>. ACM Comput. Surv. 57, 4, Article 93 (December 2024), 37 pages. https://doi.org/10.1145/3704806</t>
    </r>
  </si>
  <si>
    <r>
      <rPr>
        <sz val="12"/>
        <color rgb="FF333333"/>
        <rFont val="Arial"/>
        <family val="2"/>
      </rPr>
      <t xml:space="preserve">Roland Oruche, Sai Keerthana Goruganthu, Rithika Akula, Xiyao Cheng, Ashraful Md Goni, Bruce W. Shibo, Kerk Kee, Marcos Zampieri y Prasad Calyam. 2025. </t>
    </r>
    <r>
      <rPr>
        <b/>
        <sz val="12"/>
        <color rgb="FF145F82"/>
        <rFont val="Arial"/>
        <family val="2"/>
      </rPr>
      <t>Una revisión sobre los avances recientes en los sistemas de diálogo centrados en los humanos</t>
    </r>
    <r>
      <rPr>
        <sz val="12"/>
        <color rgb="FF333333"/>
        <rFont val="Arial"/>
        <family val="2"/>
      </rPr>
      <t>. ACM Comput. Surv. Recién aceptado (Mayo de 2025). https://doi.org/10.1145/3729220</t>
    </r>
  </si>
  <si>
    <r>
      <rPr>
        <sz val="12"/>
        <color rgb="FF333333"/>
        <rFont val="Arial"/>
        <family val="2"/>
      </rPr>
      <t xml:space="preserve">Quim Motger, Xavier Franch y Jordi Marco. 2022. </t>
    </r>
    <r>
      <rPr>
        <b/>
        <sz val="12"/>
        <color rgb="FF145F82"/>
        <rFont val="Arial"/>
        <family val="2"/>
      </rPr>
      <t>Sistemas de diálogo basados ​​en software: Revisión, taxonomía y desafíos</t>
    </r>
    <r>
      <rPr>
        <sz val="12"/>
        <color rgb="FF333333"/>
        <rFont val="Arial"/>
        <family val="2"/>
      </rPr>
      <t>. ACM Comput. Surv. 55, 5, artículo 91 (Diciembre de 2022), 42 páginas. https://doi.org/10.1145/3527450</t>
    </r>
  </si>
  <si>
    <r>
      <rPr>
        <sz val="12"/>
        <color rgb="FF000000"/>
        <rFont val="Arial"/>
        <family val="2"/>
      </rPr>
      <t xml:space="preserve">Brett W. Israelsen y Nisar R. Ahmed. 2019. </t>
    </r>
    <r>
      <rPr>
        <b/>
        <sz val="12"/>
        <color rgb="FF145F82"/>
        <rFont val="Arial"/>
        <family val="2"/>
      </rPr>
      <t>“Dave... te aseguro... que todo va a salir bien...” Definición, justificación y estudio de las garantías algorítmicas en las relaciones de confianza entre el ser humano y la autonomía.</t>
    </r>
    <r>
      <rPr>
        <sz val="12"/>
        <color rgb="FF000000"/>
        <rFont val="Arial"/>
        <family val="2"/>
      </rPr>
      <t xml:space="preserve"> ACM Comput. Surv. 51, 6, artículo 113 (Enero de 2019), 37 páginas. https://doi.org/10.1145/3267338</t>
    </r>
  </si>
  <si>
    <r>
      <rPr>
        <sz val="12"/>
        <color rgb="FF333333"/>
        <rFont val="Arial"/>
        <family val="2"/>
      </rPr>
      <t>Chen, J., Guo, F., Ren, Z. et al.</t>
    </r>
    <r>
      <rPr>
        <b/>
        <sz val="12"/>
        <color rgb="FF145F82"/>
        <rFont val="Arial"/>
        <family val="2"/>
      </rPr>
      <t xml:space="preserve"> Human-chatbot interaction studies through the lens of bibliometric analysis.</t>
    </r>
    <r>
      <rPr>
        <sz val="12"/>
        <color rgb="FF333333"/>
        <rFont val="Arial"/>
        <family val="2"/>
      </rPr>
      <t xml:space="preserve"> Univ Access Inf Soc 24, 79–98 (2023). https://doi.org/10.1007/s10209-023-01058-y</t>
    </r>
  </si>
  <si>
    <r>
      <rPr>
        <sz val="12"/>
        <color rgb="FF333333"/>
        <rFont val="Arial"/>
        <family val="2"/>
      </rPr>
      <t xml:space="preserve">Yigit, G., Bayraktar, R. </t>
    </r>
    <r>
      <rPr>
        <b/>
        <sz val="12"/>
        <color rgb="FF145F82"/>
        <rFont val="Arial"/>
        <family val="2"/>
      </rPr>
      <t>Chatbot development strategies: a review of current studies and applications</t>
    </r>
    <r>
      <rPr>
        <sz val="12"/>
        <color rgb="FF333333"/>
        <rFont val="Arial"/>
        <family val="2"/>
      </rPr>
      <t>. Knowl Inf Syst (2025). https://doi.org/10.1007/s10115-025-02462-x</t>
    </r>
  </si>
  <si>
    <r>
      <rPr>
        <sz val="12"/>
        <color rgb="FF333333"/>
        <rFont val="Arial"/>
        <family val="2"/>
      </rPr>
      <t xml:space="preserve">Ait Baha, T., El Hajji, M., Es-Saady, Y. et al. </t>
    </r>
    <r>
      <rPr>
        <b/>
        <sz val="12"/>
        <color rgb="FF145F82"/>
        <rFont val="Arial"/>
        <family val="2"/>
      </rPr>
      <t>The Power of Personalization: A Systematic Review of Personality-Adaptive Chatbots</t>
    </r>
    <r>
      <rPr>
        <sz val="12"/>
        <color rgb="FF333333"/>
        <rFont val="Arial"/>
        <family val="2"/>
      </rPr>
      <t>. SN COMPUT. SCI. 4, 661 (2023). https://doi.org/10.1007/s42979-023-02092-6</t>
    </r>
  </si>
  <si>
    <t>Total</t>
  </si>
  <si>
    <r>
      <rPr>
        <sz val="12"/>
        <color rgb="FF333333"/>
        <rFont val="Arial"/>
        <family val="2"/>
      </rPr>
      <t xml:space="preserve">Kuhail, M.A., Taj, I., Alimamy, S. et al. </t>
    </r>
    <r>
      <rPr>
        <b/>
        <sz val="12"/>
        <color rgb="FF145F82"/>
        <rFont val="Arial"/>
        <family val="2"/>
      </rPr>
      <t>A review on polyadic chatbots: trends, challenges, and future research directions</t>
    </r>
    <r>
      <rPr>
        <sz val="12"/>
        <color rgb="FF333333"/>
        <rFont val="Arial"/>
        <family val="2"/>
      </rPr>
      <t>. Knowl Inf Syst 67, 109–165 (2024). https://doi.org/10.1007/s10115-024-02287-0</t>
    </r>
  </si>
  <si>
    <r>
      <rPr>
        <sz val="12"/>
        <color rgb="FF333333"/>
        <rFont val="Arial"/>
        <family val="2"/>
      </rPr>
      <t xml:space="preserve">Liu, L., Duffy, V.G. </t>
    </r>
    <r>
      <rPr>
        <b/>
        <sz val="12"/>
        <color rgb="FF145F82"/>
        <rFont val="Arial"/>
        <family val="2"/>
      </rPr>
      <t>Exploring the Future Development of Artificial Intelligence (AI) Applications in Chatbots: A Bibliometric Analysis</t>
    </r>
    <r>
      <rPr>
        <sz val="12"/>
        <color rgb="FF333333"/>
        <rFont val="Arial"/>
        <family val="2"/>
      </rPr>
      <t>. Int J of Soc Robotics 15, 703–716 (2023). https://doi.org/10.1007/s12369-022-00956-0</t>
    </r>
  </si>
  <si>
    <r>
      <rPr>
        <sz val="12"/>
        <color rgb="FF333333"/>
        <rFont val="Arial"/>
        <family val="2"/>
      </rPr>
      <t xml:space="preserve">Peyton, K., Unnikrishnan, S. &amp; Mulligan, B. </t>
    </r>
    <r>
      <rPr>
        <b/>
        <sz val="12"/>
        <color rgb="FF145F82"/>
        <rFont val="Arial"/>
        <family val="2"/>
      </rPr>
      <t>A review of university chatbots for student support: FAQs and beyond</t>
    </r>
    <r>
      <rPr>
        <sz val="12"/>
        <color rgb="FF333333"/>
        <rFont val="Arial"/>
        <family val="2"/>
      </rPr>
      <t>. Discov Educ 4, 21 (2025). https://doi.org/10.1007/s44217-025-00397-7</t>
    </r>
  </si>
  <si>
    <r>
      <rPr>
        <sz val="12"/>
        <color rgb="FF333333"/>
        <rFont val="Arial"/>
        <family val="2"/>
      </rPr>
      <t xml:space="preserve">Huang, W., Jiang, J., King, R.B. et al. </t>
    </r>
    <r>
      <rPr>
        <b/>
        <sz val="12"/>
        <color rgb="FF145F82"/>
        <rFont val="Arial"/>
        <family val="2"/>
      </rPr>
      <t>Chatbots and student motivation: a scoping review.</t>
    </r>
    <r>
      <rPr>
        <sz val="12"/>
        <color rgb="FF333333"/>
        <rFont val="Arial"/>
        <family val="2"/>
      </rPr>
      <t xml:space="preserve"> Int J Educ Technol High Educ 22, 26 (2025). https://doi.org/10.1186/s41239-025-00524-2</t>
    </r>
  </si>
  <si>
    <r>
      <t xml:space="preserve">Abbasian, M., Khatibi, E., Azimi, I. et al. </t>
    </r>
    <r>
      <rPr>
        <b/>
        <sz val="12"/>
        <color rgb="FF145F82"/>
        <rFont val="Arial"/>
        <family val="2"/>
      </rPr>
      <t>Foundation metrics for evaluating effectiveness of healthcare conversations powered by generative AI.</t>
    </r>
    <r>
      <rPr>
        <sz val="12"/>
        <color rgb="FF333333"/>
        <rFont val="Arial"/>
        <family val="2"/>
      </rPr>
      <t xml:space="preserve"> npj Digit. Med. 7, 82 (2024). https://doi.org/10.1038/s41746-024-01074-z</t>
    </r>
  </si>
  <si>
    <r>
      <rPr>
        <sz val="12"/>
        <color rgb="FF333333"/>
        <rFont val="Arial"/>
        <family val="2"/>
      </rPr>
      <t xml:space="preserve">Xi, Z., Chen, W., Guo, X. et al. </t>
    </r>
    <r>
      <rPr>
        <b/>
        <sz val="12"/>
        <color rgb="FF145F82"/>
        <rFont val="Arial"/>
        <family val="2"/>
      </rPr>
      <t>The rise and potential of large language model based agents: a survey</t>
    </r>
    <r>
      <rPr>
        <sz val="12"/>
        <color rgb="FF333333"/>
        <rFont val="Arial"/>
        <family val="2"/>
      </rPr>
      <t>. Sci. China Inf. Sci. 68, 121101 (2025). https://doi.org/10.1007/s11432-024-4222-0</t>
    </r>
  </si>
  <si>
    <r>
      <rPr>
        <sz val="12"/>
        <color rgb="FF333333"/>
        <rFont val="Arial"/>
        <family val="2"/>
      </rPr>
      <t xml:space="preserve">Linardon, J. </t>
    </r>
    <r>
      <rPr>
        <b/>
        <sz val="12"/>
        <color rgb="FF145F82"/>
        <rFont val="Arial"/>
        <family val="2"/>
      </rPr>
      <t>Navigating the Future of Psychiatry: A Review of Research on Opportunities, Applications, and Challenges of Artificial Intelligence.</t>
    </r>
    <r>
      <rPr>
        <sz val="12"/>
        <color rgb="FF333333"/>
        <rFont val="Arial"/>
        <family val="2"/>
      </rPr>
      <t xml:space="preserve"> Curr Treat Options Psych 12, 8 (2025). https://doi.org/10.1007/s40501-025-00344-1</t>
    </r>
  </si>
  <si>
    <r>
      <rPr>
        <sz val="12"/>
        <color rgb="FF333333"/>
        <rFont val="Arial"/>
        <family val="2"/>
      </rPr>
      <t xml:space="preserve">Labadze, L., Grigolia, M. &amp; Machaidze, L. </t>
    </r>
    <r>
      <rPr>
        <b/>
        <sz val="12"/>
        <color rgb="FF145F82"/>
        <rFont val="Arial"/>
        <family val="2"/>
      </rPr>
      <t>Role of AI chatbots in education: systematic literature review.</t>
    </r>
    <r>
      <rPr>
        <sz val="12"/>
        <color rgb="FF333333"/>
        <rFont val="Arial"/>
        <family val="2"/>
      </rPr>
      <t xml:space="preserve"> Int J Educ Technol High Educ 20, 56 (2023). https://doi.org/10.1186/s41239-023-00426-1</t>
    </r>
  </si>
  <si>
    <r>
      <rPr>
        <sz val="12"/>
        <color rgb="FF333333"/>
        <rFont val="Arial"/>
        <family val="2"/>
      </rPr>
      <t xml:space="preserve">Bauer-Kemény, C., Herth, F. </t>
    </r>
    <r>
      <rPr>
        <b/>
        <sz val="12"/>
        <color rgb="FF145F82"/>
        <rFont val="Arial"/>
        <family val="2"/>
      </rPr>
      <t>Dejar de fumar como un desafío: uso de ayudas técnicas para lograr la abstinencia</t>
    </r>
    <r>
      <rPr>
        <sz val="12"/>
        <color rgb="FF333333"/>
        <rFont val="Arial"/>
        <family val="2"/>
      </rPr>
      <t>. Pneumo Noticias 16 , 42–46 (2024). https://doi.org/10.1007/s15033-024-4096-5</t>
    </r>
  </si>
  <si>
    <r>
      <rPr>
        <sz val="12"/>
        <color rgb="FF333333"/>
        <rFont val="Arial"/>
        <family val="2"/>
      </rPr>
      <t xml:space="preserve">Singh, B., Olds, T., Brinsley, J. et al. </t>
    </r>
    <r>
      <rPr>
        <b/>
        <sz val="12"/>
        <color rgb="FF145F82"/>
        <rFont val="Arial"/>
        <family val="2"/>
      </rPr>
      <t>Systematic review and meta-analysis of the effectiveness of chatbots on lifestyle behaviours</t>
    </r>
    <r>
      <rPr>
        <sz val="12"/>
        <color rgb="FF333333"/>
        <rFont val="Arial"/>
        <family val="2"/>
      </rPr>
      <t>. npj Digit. Med. 6, 118 (2023). https://doi.org/10.1038/s41746-023-00856-1</t>
    </r>
  </si>
  <si>
    <r>
      <rPr>
        <sz val="12"/>
        <color rgb="FF333333"/>
        <rFont val="Arial"/>
        <family val="2"/>
      </rPr>
      <t xml:space="preserve">Grassi, L., Recchiuto, C.T. &amp; Sgorbissa, A. </t>
    </r>
    <r>
      <rPr>
        <b/>
        <sz val="12"/>
        <color rgb="FF145F82"/>
        <rFont val="Arial"/>
        <family val="2"/>
      </rPr>
      <t>Knowledge-Grounded Dialogue Flow Management for Social Robots and Conversational Agents.</t>
    </r>
    <r>
      <rPr>
        <sz val="12"/>
        <color rgb="FF333333"/>
        <rFont val="Arial"/>
        <family val="2"/>
      </rPr>
      <t xml:space="preserve"> Int J of Soc Robotics 14, 1273–1293 (2022). https://doi.org/10.1007/s12369-022-00868-z</t>
    </r>
  </si>
  <si>
    <r>
      <rPr>
        <sz val="12"/>
        <color rgb="FF333333"/>
        <rFont val="Arial"/>
        <family val="2"/>
      </rPr>
      <t xml:space="preserve">Agarwal, R., Wadhwa, M. </t>
    </r>
    <r>
      <rPr>
        <b/>
        <sz val="12"/>
        <color rgb="FF145F82"/>
        <rFont val="Arial"/>
        <family val="2"/>
      </rPr>
      <t>Review of State-of-the-Art Design Techniques for Chatbots</t>
    </r>
    <r>
      <rPr>
        <sz val="12"/>
        <color rgb="FF333333"/>
        <rFont val="Arial"/>
        <family val="2"/>
      </rPr>
      <t>. SN COMPUT. SCI. 1, 246 (2020). https://doi.org/10.1007/s42979-020-00255-3</t>
    </r>
  </si>
  <si>
    <r>
      <rPr>
        <sz val="12"/>
        <color rgb="FF333333"/>
        <rFont val="Arial"/>
        <family val="2"/>
      </rPr>
      <t xml:space="preserve">Li, X., Wang, S., Zeng, S. et al. </t>
    </r>
    <r>
      <rPr>
        <b/>
        <sz val="12"/>
        <color rgb="FF145F82"/>
        <rFont val="Arial"/>
        <family val="2"/>
      </rPr>
      <t xml:space="preserve">Un estudio sobre sistemas multiagente basados ​​en LLM: flujo de trabajo, infraestructura y desafíos. </t>
    </r>
    <r>
      <rPr>
        <sz val="12"/>
        <color rgb="FF333333"/>
        <rFont val="Arial"/>
        <family val="2"/>
      </rPr>
      <t>Vicinagearth 1 , 9 (2024). https://doi.org/10.1007/s44336-024-00009-2</t>
    </r>
  </si>
  <si>
    <r>
      <rPr>
        <sz val="12"/>
        <color rgb="FF333333"/>
        <rFont val="Arial"/>
        <family val="2"/>
      </rPr>
      <t xml:space="preserve">Even, C., Hammann, T., Heyl, V. et al. </t>
    </r>
    <r>
      <rPr>
        <b/>
        <sz val="12"/>
        <color rgb="FF145F82"/>
        <rFont val="Arial"/>
        <family val="2"/>
      </rPr>
      <t>Benefits and challenges of conversational agents in older adults</t>
    </r>
    <r>
      <rPr>
        <sz val="12"/>
        <color rgb="FF333333"/>
        <rFont val="Arial"/>
        <family val="2"/>
      </rPr>
      <t>. Z Gerontol Geriat 55, 381–387 (2022). https://doi.org/10.1007/s00391-022-02085-9</t>
    </r>
  </si>
  <si>
    <r>
      <rPr>
        <sz val="12"/>
        <color rgb="FF333333"/>
        <rFont val="Arial"/>
        <family val="2"/>
      </rPr>
      <t xml:space="preserve">König, C.M., Karrenbauer, C. &amp; Breitner, M.H. </t>
    </r>
    <r>
      <rPr>
        <b/>
        <sz val="12"/>
        <color rgb="FF145F82"/>
        <rFont val="Arial"/>
        <family val="2"/>
      </rPr>
      <t>Development guidelines for individual digital study assistants in higher education</t>
    </r>
    <r>
      <rPr>
        <sz val="12"/>
        <color rgb="FF333333"/>
        <rFont val="Arial"/>
        <family val="2"/>
      </rPr>
      <t>. Int J Educ Technol High Educ 21, 9 (2024). https://doi.org/10.1186/s41239-024-00439-4</t>
    </r>
  </si>
  <si>
    <r>
      <rPr>
        <sz val="12"/>
        <color rgb="FF333333"/>
        <rFont val="Arial"/>
        <family val="2"/>
      </rPr>
      <t xml:space="preserve">Varriale, V., Cammarano, A., Michelino, F. et al. </t>
    </r>
    <r>
      <rPr>
        <b/>
        <sz val="12"/>
        <color rgb="FF145F82"/>
        <rFont val="Arial"/>
        <family val="2"/>
      </rPr>
      <t>Critical analysis of the impact of artificial intelligence integration with cutting-edge technologies for production systems</t>
    </r>
    <r>
      <rPr>
        <sz val="12"/>
        <color rgb="FF333333"/>
        <rFont val="Arial"/>
        <family val="2"/>
      </rPr>
      <t>. J Intell Manuf 36, 61–93 (2025). https://doi-org.access.biblioteca.cinvestav.mx/10.1007/s10845-023-02244-8</t>
    </r>
  </si>
  <si>
    <r>
      <rPr>
        <sz val="12"/>
        <color rgb="FF333333"/>
        <rFont val="Arial"/>
        <family val="2"/>
      </rPr>
      <t xml:space="preserve">Pereira, J., Díaz, Ó. </t>
    </r>
    <r>
      <rPr>
        <b/>
        <sz val="12"/>
        <color rgb="FF145F82"/>
        <rFont val="Arial"/>
        <family val="2"/>
      </rPr>
      <t>Using Health Chatbots for Behavior Change: A Mapping Study.</t>
    </r>
    <r>
      <rPr>
        <sz val="12"/>
        <color rgb="FF333333"/>
        <rFont val="Arial"/>
        <family val="2"/>
      </rPr>
      <t xml:space="preserve"> J Med Syst 43, 135 (2019). https://doi-org.access.biblioteca.cinvestav.mx/10.1007/s10916-019-1237-1</t>
    </r>
  </si>
  <si>
    <r>
      <rPr>
        <sz val="12"/>
        <color rgb="FF333333"/>
        <rFont val="Arial"/>
        <family val="2"/>
      </rPr>
      <t xml:space="preserve">Campbell, K., Louie, P., Levine, B. et al. </t>
    </r>
    <r>
      <rPr>
        <b/>
        <sz val="12"/>
        <color rgb="FF145F82"/>
        <rFont val="Arial"/>
        <family val="2"/>
      </rPr>
      <t>Using Patient Engagement Platforms in the Postoperative Management of Patients</t>
    </r>
    <r>
      <rPr>
        <sz val="12"/>
        <color rgb="FF333333"/>
        <rFont val="Arial"/>
        <family val="2"/>
      </rPr>
      <t>. Curr Rev Musculoskelet Med 13, 479–484 (2020). https://doi.org/10.1007/s12178-020-09638-8</t>
    </r>
  </si>
  <si>
    <r>
      <rPr>
        <sz val="12"/>
        <color rgb="FF333333"/>
        <rFont val="Arial"/>
        <family val="2"/>
      </rPr>
      <t xml:space="preserve">Sewpersadh, N.S. </t>
    </r>
    <r>
      <rPr>
        <b/>
        <sz val="12"/>
        <color rgb="FF145F82"/>
        <rFont val="Arial"/>
        <family val="2"/>
      </rPr>
      <t>Disruptive business value models in the digital era.</t>
    </r>
    <r>
      <rPr>
        <sz val="12"/>
        <color rgb="FF333333"/>
        <rFont val="Arial"/>
        <family val="2"/>
      </rPr>
      <t xml:space="preserve"> J Innov Entrep 12, 2 (2023). https://doi.org/10.1186/s13731-022-00252-1</t>
    </r>
  </si>
  <si>
    <r>
      <rPr>
        <sz val="12"/>
        <color rgb="FF333333"/>
        <rFont val="Arial"/>
        <family val="2"/>
      </rPr>
      <t>Graf, E., Zessinger, D.</t>
    </r>
    <r>
      <rPr>
        <b/>
        <sz val="12"/>
        <color rgb="FF145F82"/>
        <rFont val="Arial"/>
        <family val="2"/>
      </rPr>
      <t xml:space="preserve"> Alexa, know your limits: developing a framework for the accepted and desired degree of product smartness for digital voice assistants</t>
    </r>
    <r>
      <rPr>
        <sz val="12"/>
        <color rgb="FF333333"/>
        <rFont val="Arial"/>
        <family val="2"/>
      </rPr>
      <t>. SN Bus Econ 2, 43 (2022). https://doi.org/10.1007/s43546-022-00215-4</t>
    </r>
  </si>
  <si>
    <r>
      <rPr>
        <sz val="12"/>
        <color rgb="FF333333"/>
        <rFont val="Arial"/>
        <family val="2"/>
      </rPr>
      <t xml:space="preserve">Zhang, Z., Takanobu, R., Zhu, Q. et al. </t>
    </r>
    <r>
      <rPr>
        <b/>
        <sz val="12"/>
        <color rgb="FF145F82"/>
        <rFont val="Arial"/>
        <family val="2"/>
      </rPr>
      <t>Recent advances and challenges in task-oriented dialog systems</t>
    </r>
    <r>
      <rPr>
        <sz val="12"/>
        <color rgb="FF333333"/>
        <rFont val="Arial"/>
        <family val="2"/>
      </rPr>
      <t>. Sci. China Technol. Sci. 63, 2011–2027 (2020). https://doi.org/10.1007/s11431-020-1692-3</t>
    </r>
  </si>
  <si>
    <r>
      <rPr>
        <sz val="12"/>
        <color rgb="FF333333"/>
        <rFont val="Arial"/>
        <family val="2"/>
      </rPr>
      <t xml:space="preserve">Rawassizadeh, R., Sen, T., Kim, S.J. et al. </t>
    </r>
    <r>
      <rPr>
        <b/>
        <sz val="12"/>
        <color rgb="FF145F82"/>
        <rFont val="Arial"/>
        <family val="2"/>
      </rPr>
      <t>Manifestation of virtual assistants and robots into daily life: vision and challenges</t>
    </r>
    <r>
      <rPr>
        <sz val="12"/>
        <color rgb="FF333333"/>
        <rFont val="Arial"/>
        <family val="2"/>
      </rPr>
      <t>. CCF Trans. Pervasive Comp. Interact. 1, 163–174 (2019). https://doi.org/10.1007/s42486-019-00014-1</t>
    </r>
  </si>
  <si>
    <r>
      <rPr>
        <sz val="12"/>
        <color rgb="FF333333"/>
        <rFont val="Arial"/>
        <family val="2"/>
      </rPr>
      <t>Shum, Hy., He, Xd. &amp; Li, D.</t>
    </r>
    <r>
      <rPr>
        <b/>
        <sz val="12"/>
        <color rgb="FF145F82"/>
        <rFont val="Arial"/>
        <family val="2"/>
      </rPr>
      <t xml:space="preserve"> From Eliza to XiaoIce: challenges and opportunities with social chatbots</t>
    </r>
    <r>
      <rPr>
        <sz val="12"/>
        <color rgb="FF333333"/>
        <rFont val="Arial"/>
        <family val="2"/>
      </rPr>
      <t>. Frontiers Inf Technol Electronic Eng 19, 10–26 (2018). https://doi-org.access.biblioteca.cinvestav.mx/10.1631/FITEE.1700826</t>
    </r>
  </si>
  <si>
    <t xml:space="preserve">V. Velasco, K. Dedy Setiawan, R. Robert Sanjaya, M. Susan Anggreainy and A. Kurniawan, "AI Chatbot Technology to Predict Disease: A Systematic Literature Review," 2023 4th International Conference on Artificial Intelligence and Data Sciences (AiDAS), IPOH, Malaysia, 2023, pp. 97-101, doi: 10.1109/AiDAS60501.2023.10284717. </t>
  </si>
  <si>
    <t xml:space="preserve">Y. Liu and Y. Tang, "A Systematic Review on Using Chatbots in Computer-Supported Collaborative Learning," 2025 14th International Conference on Educational and Information Technology (ICEIT), Guangzhou, China, 2025, pp. 147-151, doi: 10.1109/ICEIT64364.2025.10975978. </t>
  </si>
  <si>
    <t>Year</t>
  </si>
  <si>
    <t>Period covered</t>
  </si>
  <si>
    <t>Approach</t>
  </si>
  <si>
    <t>Justification</t>
  </si>
  <si>
    <t>It focuses on conversational agents applied to therapy in NDD. He describes architectures such as socially assistive robots, embodied conversational agents, intelligent personal assistants. The corpus analyzed reaches June 2021, that is, literature prior to the explosion of LLM. It does not explicitly mention LLM, GPT, generative AI, or foundation models.</t>
  </si>
  <si>
    <t>Although he describes bots and conversational agents in software engineering, he explicitly mentions Generative AI and Large Language Models as part of the challenges and benefits. It analyzes literature through April 2024, including studies that already discuss the impact of LLM on bot development. It presents taxonomies and practices that integrate both traditional architectures and the new context of agents empowered by LLM.</t>
  </si>
  <si>
    <t>It describes traditional architectures (pipeline, end-to-end, task-oriented) and neural methods (seq2seq, transformers). It explicitly mentions LLMs, GPT, InstructGPT, RLHF, Chain-of-Thought, ReAct, DialoGPT, etc. It analyzes literature through 2024, including recent advances in human-centered AI and human-aligned techniques. The focus is on how LLMs and generative agents are integrated into human-centered dialogue systems.</t>
  </si>
  <si>
    <t>Review secondary literature published up to January 2021. It describes traditional architectures: rule-based, pattern matching (AIML, ChatScript, RiveScript), pipeline NLP, task-oriented dialogue systems. It also includes deep learning and neural models (Word2Vec, seq2seq, retrieval-based, generative-based), but without focusing on LLMs. It does not mention GPT, foundation models or generative AI.</t>
  </si>
  <si>
    <t>It mentions: Rule-based assurances, decision trees, and interpretable models. Task-oriented dialogue and classic autonomous agents. Reinforcement learning and POMDP techniques, but without focus on LLM. It does NOT mention GPT, foundation models, or generative AI.</t>
  </si>
  <si>
    <t>Describes traditional architectures (ELIZA, ALICE, embodied conversational agents). It recognizes the transition to machine learning and deep learning in 2017–2022. It does not mention GPT, foundation models or generative AI.</t>
  </si>
  <si>
    <t>It classifies chatbot development strategies into three groups: ML-based, DL-based, and LLM-based. It discusses architectures such as transformers, GPT, BERT, T5, LLaMA, Mistral, as well as modern techniques such as prompt engineering, RLHF, RAG, LoRA, QLoRA, PEFT. It features applications in education, health, interviewing, finance, and customer service, with usage examples from ChatGPT, Bing Chat, Duolingo, Coursera, GPT-3.5, LLaMA-2, Gemini-1.0-pro. It analyzes ethical challenges: hallucinations, privacy, transparency, bias, and accountability.</t>
  </si>
  <si>
    <t>Systematic review of personality-adaptive chatbots. 
Discusses personality models (Big Five, MBTI) and automatic recognition techniques. 
It examines deep learning approaches (CNN, RNN, LSTM, BERT, ELMo, ULMFiT) applied to personality trait detection. 
Describes traditional dialog architectures (NLU, DST, NLG, retrieval-based, and generative-based). 
It does not mention GPT, foundation models, or LLMs.</t>
  </si>
  <si>
    <t>Describes classical antecedents (ELIZA, ALICE) and multipart architectures. It focuses on communication modalities (text, voice, embodied avatars) and social roles (facilitator, mediator, partner). Discusses ethical challenges (transparency, bias, privacy). It does not mention LLM, GPT or foundation models. Although the year of publication is 2024, the content is pre-LLM and transitional.</t>
  </si>
  <si>
    <t>Bibliometric review on AI applications in chatbots. Difference between transactional chatbots (rule-based, basic NLP, minimal ML) and conversational chatbots (context-aware, NLU, ML). It describes classic architectures such as pre-processing, processing, and generation. Examine machine learning, NLP, and deep learning techniques applied to chatbots. Identify challenges such as user trust, data quality, limitations in complex conversations. It does not mention GPT, LLM or foundation models.</t>
  </si>
  <si>
    <t>Analyze university chatbots for administrative and academic support outside the classroom (admissions, FAQs, library services, consulting). It describes classic architectures: rule-based (AIML), retrieval-based, Seq2Seq carefully, and BERT. It explicitly includes GPT, Falcon, Gemini, Claude, and LLaMA, in addition to modern techniques such as RAG and LangChain. He points out that since the end of 2022, with the arrival of ChatGPT, there has been a disruption in the concept of university chatbots. It discusses advantages and disadvantages of each model, evaluation metrics (BLEU, F1, ROUGE, BERTScore), and challenges such as access to closed datasets.</t>
  </si>
  <si>
    <t>Difference between rule-based chatbots (31 studies) and GenAI/LLM chatbots (2 studies, including ChatGPT). It explicitly recognizes the irruption of generative AI and LLMs (GPT, LLaMA, Mistral, ChatGPT) in education.</t>
  </si>
  <si>
    <t>The article focuses on evaluation of health chatbots based on LLMs. He points out that traditional metrics (BLEU, ROUGE, Perplexity) are insufficient to evaluate medical chatbots because they do not capture semantics, empathy or ethical aspects. It proposes a framework of user-centric metrics grouped into four categories: accuracy, trustworthiness, empathy, and performance. Discuss issues such as hallucinations, lack of reasoning, biases, privacy, toxicity, lack of empathy, and personalization. It explicitly includes models such as GPT-3.5, GPT-4, PaLM, Gopher, LLaMA, BioGPT, medAlpaca, ChatDoctor, among others. It presents an evaluation framework with leaderboard to compare LLM-based health chatbots.</t>
  </si>
  <si>
    <t>It is a comprehensive survey of LLM-based agents. It presents a conceptual framework with three components: brain, perception and action, where the LLM is the cognitive core. Discuss applications in single-agent, multi-agent, and human-in-the-loop scenarios.</t>
  </si>
  <si>
    <t>Review of AI applications in psychiatry, organized into three domains. Digital phenotyping (smartphone sensors, wearables, passive and active data). Chatbots (from rule-based to generative AI). Natural Language Processing applied to social networks and clinical transcriptions. It explicitly acknowledges the use of ChatGPT for clinical notes and diagnostics, as well as chatbots such as Wysa. He points out that chatbot LLMs show greater diagnostic accuracy in recent studies, although he warns of risks of errors and adverse events. It includes meta-analyses on the efficacy of AI chatbots in mental health, highlighting that generative AI chatbots had a greater effect on symptom reduction than retrieval based ones. It discusses ethical challenges: privacy, data security, medical errors, loss of human connection, and the need for harm reporting guidelines.</t>
  </si>
  <si>
    <t>It analyzes benefits for students (homework assistance, personalized learning, skill development) and for teachers (time savings, pedagogical improvement). It points out challenges: reliability, accuracy, fair assessments, ethics and privacy. Explicit mention of ChatGPT and Bard (2022–2023) as examples of next-generation educational chatbots. He acknowledges that ChatGPT reached 100 million users in 8 months and discusses its impact on education.</t>
  </si>
  <si>
    <t>It mentions techniques such as machine learning, NLP, chatbots, predictive analytics, gamification, virtual reality and mobile apps. Chatbots are described as NLP and ML-based assistants, with reference to a "next generation" of chatbots with generative AI, but without going into detail about LLMs.</t>
  </si>
  <si>
    <t>Subgroups: text-based and AI/NLP chatbots were more effective than voice-based diet chatbots; multicomponent interventions were more effective than sleep chatbots only. AI and NLP are mentioned as techniques, but LLMs and generative models are not discussed.</t>
  </si>
  <si>
    <t>Describes rule-based, scripted dialogue, and NLP pipeline architectures. Assesses coherence and cultural competence through questionnaires (SASSI, coherence surveys). Compare with traditional agents (keyword-based, keyword+Google NLP, random topic, human simulating chatbot, Replika). Although it mentions that Replika uses GPT-2, the article does not focus its analysis on LLM or generative AI.</t>
  </si>
  <si>
    <t>Review of chatbot design techniques including rule-based (AIML, pattern matching, parsing, ontologies, SQL, Chatscript). But it also dedicates sections to deep learning and neural conversational agents: RNN, LSTM, Seq2Seq, HRED, GAN, VAE. He discusses task-oriented and open-domain architectures with neural models. Use metrics such as BLEU, METEOR, Perplexity, Human Evaluation.</t>
  </si>
  <si>
    <t>It is a systematic survey of LLM-based multi-agent systems. It presents a unified framework with five modules: profile, perception, self-action, mutual interaction, evolution. Analyze applications in problem-solving and world simulation. It includes explicit examples of systems based on GPT-3.5, GPT-4, LLaMA, ChatGLM, MetaGPT, ChatDev, Generative Agents, MedAgents, Social Simulacra, among others. It discusses contemporary challenges: hallucinations, multi-role coordination, planning, communication between agents, memory, multimodal perception, integration of external knowledge.</t>
  </si>
  <si>
    <t>The systems analyzed are mainly commercial voice assistants: Alexa, Siri, Google Assistant, Clova, NUGU. Benefits: ease of use, access to information, entertainment, communication, a sense of companionship, greater independence. Challenges: Learning difficulties, speech recognition issues, privacy, lack of confidence in answers. LLMs, GPT, and foundation models are not mentioned.</t>
  </si>
  <si>
    <t>The article describes guidelines for developing Individual Digital Study Assistants (IDSAs) in higher education. It focuses on integration with LMS, CMS, OER, customization, reminders, and self-regulation support. Recognizes a background of pedagogical conversational agents (PCA) and smart personal assistants (SPA). It does not explicitly mention LLM, GPT, foundation models, or generative AI.</t>
  </si>
  <si>
    <t>It analyzes combinations of AI with big data, IoT, blockchain, digital twins, robotics, immersive environments, geospatial tech, proximity sensors, etc. It focuses on machine learning, deep learning, ANN, NLP, cognitive computing, computer vision, reinforcement learning. He mentions ChatGPT as an example of coherent and controlled text generation, applied to contracts and customer feedback.</t>
  </si>
  <si>
    <t>Technologies described: rule-based chatbots, RCTs, basic NLP, mobile health apps. There is no mention of LLMs, GPT, or generative AI.</t>
  </si>
  <si>
    <t>The chatbots described are rule-based and basic NLP, designed to answer simple questions.</t>
  </si>
  <si>
    <t>Technologies such as automation, bots, service robots, RPA, NLP, NLU, NLG, machine learning. It discusses cognitive automation and ML, but does not mention LLM, GPT, or foundation models.</t>
  </si>
  <si>
    <t>Qualitative study with interviews with users and non-users of digital voice assistants (DVAs) such as Alexa, Siri, Cortana, Google Assistant, Bixby. It develops a "product smartness" (PS) framework with four gradations of autonomy and AI capabilities. It analyzes attributes such as: autonomy, learning capacity, cooperation, human interaction, personality. Identifies perceived risks: loss of control, privacy, manipulation, technological dependence.</t>
  </si>
  <si>
    <t>The article is a survey on task-oriented dialog systems. It describes pipeline architectures (NLU, DST, Policy, NLG) and also end-to-end architectures based on seq2seq, RNN, LSTM, CopyNet, memory networks. He mentions pre-training with BERT and models such as SC-GPT (GPT-2 fine-tuning for NLG).</t>
  </si>
  <si>
    <t>Review of benefits, risks, challenges and future vision of virtual assistants and social robots. Examples: Alexa, Google Home, Siri, Cortana, Bixby, Jibo, NAO. Describes rule-based, scripted dialogue, and NLP pipeline architectures. Identify challenges: privacy, autonomy, security, biases, emotional dependence, technological unemployment. He mentions advances in deep learning for speech recognition.</t>
  </si>
  <si>
    <t>It analyzes social chatbots as an emerging field, with a focus on empathy, personality, prolonged interaction, and social accompaniment. It recognizes the move from scripted dialogue and rule-based to deep learning, reinforcement learning, and neural models.</t>
  </si>
  <si>
    <t>Applications in triage, diagnosis, and support for doctors and patients are analyzed. Technologies described: NLP, NLU, AIML, Naïve Bayes, SVM, Random Forest, XGBoost, TF-IDF, ensemble learning. The use of classical machine learning and NLP techniques is emphasized to improve accuracy and speed in diagnosis.</t>
  </si>
  <si>
    <t>Most of the chatbots analyzed are task-oriented (95%), with predefined and limited interaction. Platforms: Dialogflow, Textit, Qualtrics, LINE, Telegram, and custom-built systems in Python. Technologies described: Basic NLP, AIML, concept mapping, mind maps, simple customization, adaptive feedback.</t>
  </si>
  <si>
    <t>Comprehensive review on personalized dialogue systems. Difference between open-domain and task-oriented dialogue systems. New architectures (role-aware attention, reinforcement learning, multitask learning). He mentions Persona-Chat, PersonalDialog, BERT-based encoders, Transformers, memory networks, attention mechanisms. Challenges: data dependency, noise in histories, privacy, model robustness, complexity, and scalability. It includes relevant datasets (Persona-Chat, DailyDialog, ConvAI2, CPED, Baidu PersonaChat) and evaluation metrics (BLEU, ROUGE, Distinct, Perplexity, coherence, diversity, consistency). Transformers and advanced neural models are mentioned.</t>
  </si>
  <si>
    <t>2010-2022</t>
  </si>
  <si>
    <t>2011-2023</t>
  </si>
  <si>
    <t>until 2023</t>
  </si>
  <si>
    <t>until 2018</t>
  </si>
  <si>
    <t>until 2019</t>
  </si>
  <si>
    <t>until 2020</t>
  </si>
  <si>
    <t>2019 - 2022</t>
  </si>
  <si>
    <t>2020 - 2023</t>
  </si>
  <si>
    <t>2014 - 2018</t>
  </si>
  <si>
    <t>2010 - 2021</t>
  </si>
  <si>
    <t>2023 - 2024</t>
  </si>
  <si>
    <t>until 2022</t>
  </si>
  <si>
    <t>2018 - 2023</t>
  </si>
  <si>
    <t>1966 - 2023</t>
  </si>
  <si>
    <t>2015 - 2024</t>
  </si>
  <si>
    <t>2013 - 2023</t>
  </si>
  <si>
    <t>2011 - 2021</t>
  </si>
  <si>
    <t>2014 - 2024</t>
  </si>
  <si>
    <t>until 2021</t>
  </si>
  <si>
    <t>2000 - 2022</t>
  </si>
  <si>
    <t>2019 - 2024</t>
  </si>
  <si>
    <t>2016 - 2021</t>
  </si>
  <si>
    <t>Frequency by approach</t>
  </si>
  <si>
    <t>Inclusion criteria</t>
  </si>
  <si>
    <t>Exclusion Criteria</t>
  </si>
  <si>
    <t>It only analyzes traditional chatbots; it doesn't mention modern generative technologies.</t>
  </si>
  <si>
    <t>It focuses explicitly on LLM agents or primarily analyzes 2023–2025 literature on LLM</t>
  </si>
  <si>
    <t>Explicitly discusses LLM-based assistants.
Analyze GPT, foundation models, or generative AI</t>
  </si>
  <si>
    <t>It describes technologies such as:
 Deep Learning Chatbots 
neural conversational agents 
transformer models (no focus on generative LLMs), and mentions advanced conversational AI, but doesn't focus on the analysis of LLM</t>
  </si>
  <si>
    <t>It describes architectures such as:
rule-based chatbots
decision trees
scripted dialogue
intent classification
cascaded natural language processing
task-oriented dialogue systems.
It does not mention LLM, GPT, generative AI, or base models.</t>
  </si>
  <si>
    <t>It explicitly mentions:
large language models
LLM-based agents
GPT-based assistants
generative AI
foundation models
The focus of the article includes topics such as:
generative conversational agents
LLM-based dialogue systems
AI copilots
autonomous agents using LLMs</t>
  </si>
  <si>
    <t>Limitations or challenges description</t>
  </si>
  <si>
    <t>Extracted text fragments related to limitations or challenges</t>
  </si>
  <si>
    <t>Location of the text within the source article</t>
  </si>
  <si>
    <t>Elaborated by :  Citlalli Selene Avalos Montiel  
José G. Rodríguez García  
Sonia Mendoza</t>
  </si>
  <si>
    <t>theory_practice_disconnect</t>
  </si>
  <si>
    <t>unstandardized_metrics</t>
  </si>
  <si>
    <t>ambiguous_terminology</t>
  </si>
  <si>
    <t>incomplete_data</t>
  </si>
  <si>
    <t>privacy_naturalness_interaction</t>
  </si>
  <si>
    <t>technical_functional_restrictions</t>
  </si>
  <si>
    <t>user_centered_design</t>
  </si>
  <si>
    <t>complex_task_handling</t>
  </si>
  <si>
    <t>real_time_nlp</t>
  </si>
  <si>
    <t>data_quality_model_evaluation</t>
  </si>
  <si>
    <t>conversational_context_maintenance</t>
  </si>
  <si>
    <t>multiturn_context_coherence</t>
  </si>
  <si>
    <t>closed_domain_data_acquisition</t>
  </si>
  <si>
    <t>adoption_resistance_to_change</t>
  </si>
  <si>
    <t>data_scarcity</t>
  </si>
  <si>
    <t>generative_ai_technological_lag</t>
  </si>
  <si>
    <t>non_technical_operational_restrictions</t>
  </si>
  <si>
    <t>subjective_evaluation</t>
  </si>
  <si>
    <t>ambiguous_user_behavior_outcomes</t>
  </si>
  <si>
    <t>longitudinal_trust_inconsistency</t>
  </si>
  <si>
    <t>contextual_clinical_value_evaluation</t>
  </si>
  <si>
    <t>absent_semantic_metrics</t>
  </si>
  <si>
    <t>absent_user_centered_metrics</t>
  </si>
  <si>
    <t>absent_comprehensive_evaluation</t>
  </si>
  <si>
    <t>absent_diagnostic_evidence</t>
  </si>
  <si>
    <t>clinical_error_risk</t>
  </si>
  <si>
    <t>engagement_biases_longitudinal_evaluation</t>
  </si>
  <si>
    <t>clinical_harm_protocol_lack</t>
  </si>
  <si>
    <t>absent_longitudinal_studies</t>
  </si>
  <si>
    <t>personalization_adaptation_external_validity</t>
  </si>
  <si>
    <t>conversational_coherence</t>
  </si>
  <si>
    <t>algorithmic_biases</t>
  </si>
  <si>
    <t>adaptation_vulnerable_users</t>
  </si>
  <si>
    <t>model_architectural_limitation</t>
  </si>
  <si>
    <t>resource_cost_efficiency</t>
  </si>
  <si>
    <t>response_length_performance</t>
  </si>
  <si>
    <t>model_evaluation</t>
  </si>
  <si>
    <t>common_sense_knowledge_integration</t>
  </si>
  <si>
    <t>long_term_personality_memory</t>
  </si>
  <si>
    <t>user_centered_evaluation</t>
  </si>
  <si>
    <t>multimodal_interaction</t>
  </si>
  <si>
    <t>static_design</t>
  </si>
  <si>
    <t>qualitative_feedback_scarcity</t>
  </si>
  <si>
    <t>limited_external_validity</t>
  </si>
  <si>
    <t>absent_value_perception</t>
  </si>
  <si>
    <t>reporting_rigor_scarcity</t>
  </si>
  <si>
    <t>absent_social_implications</t>
  </si>
  <si>
    <t>predominance_of_development_studies</t>
  </si>
  <si>
    <t>omission_of_human_support</t>
  </si>
  <si>
    <t>technical_operational_restrictions</t>
  </si>
  <si>
    <t>usability_accessibility_barriers</t>
  </si>
  <si>
    <t>resource_overload</t>
  </si>
  <si>
    <t>emotional_subtext_comprehension</t>
  </si>
  <si>
    <t>ethical_transparency_risk</t>
  </si>
  <si>
    <t>cybersecurity_privileges_risk</t>
  </si>
  <si>
    <t>ethical_user_behavior_risk</t>
  </si>
  <si>
    <t>autonomy_complexity_risk</t>
  </si>
  <si>
    <t>personal_data_security_risk</t>
  </si>
  <si>
    <t>lack_of_data_use_transparency</t>
  </si>
  <si>
    <t>evaluation_metrics_validity</t>
  </si>
  <si>
    <t>low_fidelity_user_simulators</t>
  </si>
  <si>
    <t>semantic_structural_comprehension</t>
  </si>
  <si>
    <t>data_complexity_cost</t>
  </si>
  <si>
    <t>new_domain_generalization</t>
  </si>
  <si>
    <t>health_inactivity_risk</t>
  </si>
  <si>
    <t>unemployement_risk_by_automation</t>
  </si>
  <si>
    <t>physical_security_risk</t>
  </si>
  <si>
    <t>social_isolation_risk</t>
  </si>
  <si>
    <t>graphic_illiteracy_barrier</t>
  </si>
  <si>
    <t>ethical_manipulation_bias_risk</t>
  </si>
  <si>
    <t>openness_personalization_limitation</t>
  </si>
  <si>
    <t>diverse_cultural_context_validation</t>
  </si>
  <si>
    <t>theoretical_creativity_limitation</t>
  </si>
  <si>
    <t>sensor_precision_limitation</t>
  </si>
  <si>
    <t>simple_user_interface</t>
  </si>
  <si>
    <t>embodiment_mobility_limitation</t>
  </si>
  <si>
    <t>infrastructure_connectivity_risk</t>
  </si>
  <si>
    <t>inconsistent_behavior_personality</t>
  </si>
  <si>
    <t>response_imprecision_ambiguity</t>
  </si>
  <si>
    <t>legal_regulatory_implications</t>
  </si>
  <si>
    <t>longitudinal_evaluation_lack</t>
  </si>
  <si>
    <t>key_user_variables_omission</t>
  </si>
  <si>
    <t>granular_individual_analysis_lack</t>
  </si>
  <si>
    <t>replicability_reproducibility_lack</t>
  </si>
  <si>
    <t>quantitative_meta_analysis_absence</t>
  </si>
  <si>
    <t>data_noise_user_modeling</t>
  </si>
  <si>
    <t>transparency_explainability_lack</t>
  </si>
  <si>
    <t>Stage</t>
  </si>
  <si>
    <t>Approach/Stage</t>
  </si>
  <si>
    <t>Reference ID</t>
  </si>
  <si>
    <t>Unique Concepts</t>
  </si>
  <si>
    <t>Articles IDs that contain the unified concepts</t>
  </si>
  <si>
    <t>Frequency of unique concepts</t>
  </si>
  <si>
    <t>Ethics and Society</t>
  </si>
  <si>
    <t>Objective</t>
  </si>
  <si>
    <t>Scope</t>
  </si>
  <si>
    <t>Review the use of conversational agents in interventions for neurodevelopmental disorders, analyzing their design characteristics, therapeutic objectives, and evaluation methods, and identifying opportunities for improvement.</t>
  </si>
  <si>
    <t>Analyze the role of bots and conversational agents in software engineering, proposing a taxonomy and identifying adoption motivations, challenges, benefits, best practices, and mitigation strategies.</t>
  </si>
  <si>
    <t>Review recent advances in human-centered dialogue systems, focusing on human involvement in their development, real-world human–agent collaboration, and their applicability across datasets, use cases, and NLP tasks.</t>
  </si>
  <si>
    <t>Analyze the current state of conversational agent research across contexts, proposing a holistic taxonomy to guide future research on natural language interfaces.</t>
  </si>
  <si>
    <t>Define, classify, and formally analyze algorithmic assurances as mechanisms for calibrating user trust in AI agents, integrating formal trust models and approaches from machine learning, HCI, robotics, and e-commerce.</t>
  </si>
  <si>
    <t>Conduct a bibliometric review of human–chatbot interaction research, analyzing publication trends, influential contributors, dominant themes, design approaches, user experience, applications, and ethical aspects to guide future research.</t>
  </si>
  <si>
    <t>Review methodologies used for chatbot development between 2019 and 2024, identifying the main approaches, practices, and trends reported in the literature.</t>
  </si>
  <si>
    <t>Review research on personality-adaptive chatbots, analyzing personality recognition approaches, response adaptation strategies, deep learning techniques, user characteristics, and evaluation metrics related to effectiveness and user satisfaction.</t>
  </si>
  <si>
    <t>Review the roles, design concepts, empirical evidence, and challenges associated with polyadic chatbots.</t>
  </si>
  <si>
    <t>Explore the evolution of AI applications in chatbots through a bibliometric analysis, identifying research trends, main themes, and future directions in AI-based chatbot research.</t>
  </si>
  <si>
    <t>Analyze the use of chatbots in universities for handling non-academic student queries and propose improvements using recent generative models.</t>
  </si>
  <si>
    <t>Summarize empirical research on the use of chatbots to promote student motivation in learning through a scoping review.</t>
  </si>
  <si>
    <t>Propose a comprehensive set of user-centered evaluation metrics for LLM-based healthcare chatbots, covering language processing, clinical impact, empathy, personalization, user understanding, and emotional support.</t>
  </si>
  <si>
    <t>Review LLM-based agents, covering their construction, applications, and agent societies to identify advances, open challenges, and future directions for general AI agent development.</t>
  </si>
  <si>
    <t>Analyze the opportunities, applications, and challenges of AI in psychiatry, focusing on smartphone sensing and digital phenotyping, chatbots, and natural language processing.</t>
  </si>
  <si>
    <t>Analyze the benefits, opportunities, challenges, limitations, concerns, and future perspectives of AI chatbots in educational settings.</t>
  </si>
  <si>
    <t>Analyze how digital technologies, including mobile applications and AI-based tools, can effectively support smoking cessation.</t>
  </si>
  <si>
    <t>Evaluate the effectiveness of chatbot-based interventions in improving physical activity, nutrition, and sleep behaviors.</t>
  </si>
  <si>
    <t>Propose and evaluate a knowledge-based conversation system for social robots and conversational agents, using an ontology and dialogue management algorithm to support coherent topic selection and conversational flow.</t>
  </si>
  <si>
    <t>Review classical rule-based and modern neural approaches for chatbot development, highlighting their characteristics, applications, evaluation metrics, recent research directions, and areas for improvement in conversational modeling.</t>
  </si>
  <si>
    <t>Review LLM-based multi-agent systems, synthesizing their main components, applications in problem-solving and world simulation, current challenges, and future research directions for autonomous intelligent agents.</t>
  </si>
  <si>
    <t>Synthesize evidence on the benefits and challenges of conversational agents for older adults, with and without intellectual disabilities, to inform future research and practical decision-making.</t>
  </si>
  <si>
    <t>Design, develop, and evaluate an Individual Digital Study Assistant to support higher education students in self-regulation and organizational skills, while deriving practical guidelines for its implementation in educational institutions.</t>
  </si>
  <si>
    <t>Classify the literature on the integration of AI with other emerging technologies, highlighting its benefits for business performance and proposing a future research agenda.</t>
  </si>
  <si>
    <t>Map the landscape of healthcare chatbots by identifying the diseases they address, the patient competencies they support, and the technical features most valued in their design.</t>
  </si>
  <si>
    <t>Contextualize patient engagement in orthopedic surgery, with a focus on patient engagement platforms and their impact on clinical outcomes and orthopedic workflows.</t>
  </si>
  <si>
    <t>Analyze how service-sector business models should transform in disruptive environments, such as the pandemic and AI advancement, by proposing an integrative theoretical approach that supports continuous innovation, value-network collaboration, and balanced business and social outcomes.</t>
  </si>
  <si>
    <t>Investigate factors influencing the acceptance of digital voice assistants, developing a categorical framework of DVA smartness levels to capture users’ preferences and limits regarding autonomy and interaction style.</t>
  </si>
  <si>
    <t>Review recent advances and challenges in task-oriented dialogue systems, focusing on data efficiency, multi-turn dialogue modeling, domain ontology integration, and evaluation methods to guide future research.</t>
  </si>
  <si>
    <t>Review the benefits, risks, challenges, open questions, and future perspectives of virtual assistants and social robots in everyday life, emphasizing the user-centered perspective on their adoption and impact.</t>
  </si>
  <si>
    <t>Analyze the evolution of conversational systems toward social chatbots, emphasizing the importance of integrating both cognitive and emotional capabilities to enhance user engagement</t>
  </si>
  <si>
    <t>Explore the effectiveness and potential of AI chatbots for disease prediction, early intervention, and treatment.</t>
  </si>
  <si>
    <t>Analyze the use of chatbots in computer-supported collaborative learning (CSCL), identifying their pedagogical and technological contributions and the challenges of their integration into collaborative educational environments.</t>
  </si>
  <si>
    <t>Review personalized dialogue systems, covering their foundations, personalization methods, evaluation metrics, current trends, and future research directions for adaptive virtual assistants.</t>
  </si>
  <si>
    <t>Neurodevelopmental disorders; therapeutic conversational agents; support for therapy and skill training; design characteristics and evaluation methods; literature published between 2011 and 2021.</t>
  </si>
  <si>
    <t>Software engineering; bots and conversational agents; software development processes; adoption motivations, challenges, benefits, best practices, and mitigation strategies.</t>
  </si>
  <si>
    <t>Human-centered dialogue systems; human involvement in system development; real-world human–agent collaboration; datasets, use cases, and NLP tasks.</t>
  </si>
  <si>
    <t>Conversational agents; context-independent research landscape; holistic taxonomy; natural language interfaces.</t>
  </si>
  <si>
    <t>AI agents; algorithmic assurances; user trust calibration; formal trust models; machine learning, HCI, robotics, and e-commerce.</t>
  </si>
  <si>
    <t>Human–chatbot interaction; bibliometric analysis of 3,013 publications from Web of Science; influential authors, themes, trends, and publication sources; studies published between 2000 and 2022.</t>
  </si>
  <si>
    <t>Chatbot development methodologies; systematic review of 35 studies selected from 3,689 publications across ACM, IEEE, ProQuest, PubMed, and Springer; studies published between 2019 and 2024.</t>
  </si>
  <si>
    <t>Systematic review of 3,524 publications from ACM, ERIC, IEEE Xplore, and Scopus; journal and conference papers in English; studies published between 2016 and 2021.</t>
  </si>
  <si>
    <t>Systematic review of 57 studies selected from 4,630 publications across ACM Digital Library, Scopus, IEEE Xplore, and SpringerLink; studies published between 2013 and 2023.</t>
  </si>
  <si>
    <t>Bibliometric analysis of 1,320 documents retrieved from Web of Science; data processed using BibExcel and CiteSpace; studies published up to 2022.</t>
  </si>
  <si>
    <t>Analysis of 8 university chatbot implementations for non-classroom student support; studies published from 2015 onward.</t>
  </si>
  <si>
    <t>Systematic review of 43 studies retrieved from Web of Science, ScienceDirect, Scopus, Wiley Online Library, and APA PsycInfo; studies published between 1966 and 2023.</t>
  </si>
  <si>
    <t>Not explicitly specified.</t>
  </si>
  <si>
    <t>Systematic review of 563 articles retrieved from ACM Digital Library, Scopus, IEEE Xplore, and Google Scholar; studies published between 2018 and 2023.</t>
  </si>
  <si>
    <t>Systematic review of 19 intervention trials (randomized, non-randomized, and pre-post studies) on chatbot-based interventions targeting physical activity, diet, and sleep; studies published before September 2022.</t>
  </si>
  <si>
    <t>Comparative evaluation of 5 conversational agents in a knowledge-based dialogue system.</t>
  </si>
  <si>
    <t>Systematic review of 18 studies selected from 841 publications across ACM Digital Library, IEEE Xplore, ERIC, PubMed, PsycINFO, and Web of Science; studies published between 2010 and May 2021.</t>
  </si>
  <si>
    <t>Mixed-method study involving qualitative expert interviews, a quantitative student survey, and the iterative design, development, implementation, and evaluation of a prototype.</t>
  </si>
  <si>
    <t>Literature review of 571 empirical studies from Scopus, published between 2019 and 2022 in Q1 and Q2 journals in accounting, economics, and management.</t>
  </si>
  <si>
    <t>Systematic review of 30 studies retrieved from IEEE Xplore, ACM Digital Library, Springer Link, ScienceDirect, and Google Scholar; studies published between 2014 and December 2018.</t>
  </si>
  <si>
    <t>Literature review of 79 studies retrieved from EBSCO, Web of Science, and Scopus, covering experimental and non-experimental, theoretical and empirical research on GBS, CRM, service innovation, and business models.</t>
  </si>
  <si>
    <t>Qualitative empirical research.</t>
  </si>
  <si>
    <t>Literature review of conversational systems, covering developments from the 1960s to recent social chatbots such as ELIZA and XiaoIce.</t>
  </si>
  <si>
    <t>Review of studies from 24 selected journals, covering publications across multiple years with particular emphasis on articles published in 2020.</t>
  </si>
  <si>
    <t>Systematic review of 20 studies selected from 2,433 articles across Web of Science, Academic Search Complete, ERIC, IEEE Xplore Digital Library, and ProQuest; English-language publications only.</t>
  </si>
  <si>
    <t>Literature review of personalized dialogue systems, covering open-domain dialogue foundations, personalization methods based on user models and conversation histories, datasets, and evaluation metrics.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</si>
</sst>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1"/>
      <color theme="1"/>
      <name val="Aptos Narrow"/>
      <family val="2"/>
      <scheme val="minor"/>
    </font>
    <font>
      <sz val="8"/>
      <name val="Aptos Narrow"/>
      <family val="2"/>
      <scheme val="minor"/>
    </font>
    <font>
      <b/>
      <sz val="14"/>
      <color theme="1"/>
      <name val="Aptos Narrow"/>
      <family val="2"/>
      <scheme val="minor"/>
    </font>
    <font>
      <sz val="12"/>
      <color rgb="FF333333"/>
      <name val="Arial"/>
      <family val="2"/>
    </font>
    <font>
      <b/>
      <sz val="12"/>
      <color rgb="FF145F82"/>
      <name val="Arial"/>
      <family val="2"/>
    </font>
    <font>
      <sz val="12"/>
      <color theme="1"/>
      <name val="Arial"/>
      <family val="2"/>
    </font>
    <font>
      <sz val="12"/>
      <color rgb="FF333333"/>
      <name val="Aptos Display"/>
      <family val="2"/>
      <scheme val="major"/>
    </font>
    <font>
      <sz val="12"/>
      <color theme="1"/>
      <name val="Aptos Display"/>
      <family val="2"/>
      <scheme val="major"/>
    </font>
    <font>
      <sz val="12"/>
      <color rgb="FF000000"/>
      <name val="Arial"/>
      <family val="2"/>
    </font>
    <font>
      <sz val="22"/>
      <color theme="1"/>
      <name val="Aptos Narrow"/>
      <family val="2"/>
      <scheme val="minor"/>
    </font>
    <font>
      <u/>
      <sz val="11"/>
      <color theme="1"/>
      <name val="Aptos Narrow"/>
      <family val="2"/>
      <scheme val="minor"/>
    </font>
    <font>
      <b/>
      <sz val="11"/>
      <color rgb="FF000000"/>
      <name val="Aptos Narrow"/>
      <family val="2"/>
      <scheme val="minor"/>
    </font>
    <font>
      <b/>
      <sz val="11"/>
      <color rgb="FF333333"/>
      <name val="Aptos Narrow"/>
      <family val="2"/>
      <scheme val="minor"/>
    </font>
    <font>
      <sz val="11"/>
      <color rgb="FF333333"/>
      <name val="Aptos Narrow"/>
      <family val="2"/>
      <scheme val="minor"/>
    </font>
    <font>
      <sz val="11"/>
      <color rgb="FF000000"/>
      <name val="Aptos Narrow"/>
      <family val="2"/>
      <scheme val="minor"/>
    </font>
  </fonts>
  <fills count="7">
    <fill>
      <patternFill patternType="none"/>
    </fill>
    <fill>
      <patternFill patternType="gray125"/>
    </fill>
    <fill>
      <patternFill patternType="solid">
        <fgColor theme="3" tint="0.89999084444715716"/>
        <bgColor indexed="64"/>
      </patternFill>
    </fill>
    <fill>
      <patternFill patternType="solid">
        <fgColor rgb="FFE7E7AB"/>
        <bgColor indexed="64"/>
      </patternFill>
    </fill>
    <fill>
      <patternFill patternType="solid">
        <fgColor theme="6" tint="0.79998168889431442"/>
        <bgColor indexed="64"/>
      </patternFill>
    </fill>
    <fill>
      <patternFill patternType="solid">
        <fgColor rgb="FFFFFFFF"/>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2">
    <xf numFmtId="0" fontId="0" fillId="0" borderId="0" xfId="0"/>
    <xf numFmtId="0" fontId="0" fillId="0" borderId="0" xfId="0" applyAlignment="1">
      <alignment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wrapText="1"/>
    </xf>
    <xf numFmtId="0" fontId="0" fillId="2" borderId="1" xfId="0" applyFill="1" applyBorder="1" applyAlignment="1">
      <alignment horizontal="center" vertical="center" wrapText="1"/>
    </xf>
    <xf numFmtId="0" fontId="0" fillId="0" borderId="1" xfId="0" applyBorder="1"/>
    <xf numFmtId="0" fontId="0" fillId="0" borderId="2" xfId="0" applyBorder="1" applyAlignment="1">
      <alignment horizontal="center" vertical="center" wrapText="1"/>
    </xf>
    <xf numFmtId="0" fontId="0" fillId="2" borderId="1" xfId="0" applyFill="1" applyBorder="1"/>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0" fillId="2" borderId="1" xfId="0" applyFill="1" applyBorder="1" applyAlignment="1">
      <alignment horizontal="left" vertical="center" wrapText="1"/>
    </xf>
    <xf numFmtId="0" fontId="0" fillId="3" borderId="1" xfId="0" applyFill="1" applyBorder="1" applyAlignment="1">
      <alignment horizontal="left" vertical="center" wrapText="1"/>
    </xf>
    <xf numFmtId="0" fontId="0" fillId="4" borderId="1" xfId="0" applyFill="1" applyBorder="1" applyAlignment="1">
      <alignment horizontal="left"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9" fillId="5" borderId="1" xfId="0" applyFont="1" applyFill="1" applyBorder="1" applyAlignment="1">
      <alignment horizontal="center" vertical="center" wrapText="1"/>
    </xf>
    <xf numFmtId="0" fontId="1" fillId="0" borderId="1" xfId="0" applyFont="1" applyBorder="1"/>
    <xf numFmtId="0" fontId="4" fillId="6"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10" fillId="0" borderId="1" xfId="0" applyFont="1" applyBorder="1" applyAlignment="1">
      <alignment wrapText="1"/>
    </xf>
    <xf numFmtId="0" fontId="1" fillId="0" borderId="1" xfId="0" applyFont="1"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0" xfId="0" applyAlignment="1">
      <alignment horizontal="center" wrapText="1"/>
    </xf>
    <xf numFmtId="0" fontId="0" fillId="0" borderId="0" xfId="0" applyAlignment="1">
      <alignment horizontal="center" vertical="center" wrapText="1"/>
    </xf>
    <xf numFmtId="0" fontId="11" fillId="0" borderId="0" xfId="0" applyFont="1"/>
    <xf numFmtId="0" fontId="0" fillId="0" borderId="1" xfId="0" applyFont="1" applyBorder="1" applyAlignment="1">
      <alignment horizontal="center" vertical="center" wrapText="1"/>
    </xf>
    <xf numFmtId="0" fontId="12" fillId="0" borderId="1" xfId="0" applyFont="1" applyBorder="1" applyAlignment="1">
      <alignment horizontal="center" wrapText="1"/>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0" fillId="0" borderId="1" xfId="0" applyFont="1" applyBorder="1" applyAlignment="1">
      <alignment horizontal="left" vertical="center" wrapText="1"/>
    </xf>
    <xf numFmtId="0" fontId="15" fillId="0" borderId="1" xfId="0" applyFont="1" applyBorder="1" applyAlignment="1">
      <alignment horizontal="center" vertical="center"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15832-9D5C-4C3E-A670-9FE5DDBDD23B}">
  <dimension ref="A1:I201"/>
  <sheetViews>
    <sheetView zoomScale="61" zoomScaleNormal="55" workbookViewId="0">
      <selection activeCell="B1" sqref="B1"/>
    </sheetView>
  </sheetViews>
  <sheetFormatPr baseColWidth="10" defaultRowHeight="14.5" x14ac:dyDescent="0.35"/>
  <cols>
    <col min="2" max="2" width="22.26953125" customWidth="1"/>
    <col min="3" max="3" width="23.36328125" customWidth="1"/>
    <col min="4" max="4" width="62.6328125" customWidth="1"/>
    <col min="5" max="5" width="60.7265625" customWidth="1"/>
    <col min="6" max="6" width="52.453125" customWidth="1"/>
    <col min="7" max="7" width="49.26953125" customWidth="1"/>
    <col min="8" max="8" width="32.453125" customWidth="1"/>
  </cols>
  <sheetData>
    <row r="1" spans="1:8" x14ac:dyDescent="0.35">
      <c r="A1" s="10" t="s">
        <v>1</v>
      </c>
      <c r="B1" s="10" t="s">
        <v>2</v>
      </c>
      <c r="C1" s="10" t="s">
        <v>3</v>
      </c>
      <c r="D1" s="10" t="s">
        <v>4</v>
      </c>
      <c r="E1" s="10" t="s">
        <v>1380</v>
      </c>
      <c r="F1" s="10" t="s">
        <v>1381</v>
      </c>
      <c r="G1" s="10" t="s">
        <v>1382</v>
      </c>
      <c r="H1" s="10" t="s">
        <v>5</v>
      </c>
    </row>
    <row r="2" spans="1:8" ht="58" x14ac:dyDescent="0.35">
      <c r="A2" s="3" t="s">
        <v>6</v>
      </c>
      <c r="B2" s="3" t="s">
        <v>7</v>
      </c>
      <c r="C2" s="3" t="s">
        <v>8</v>
      </c>
      <c r="D2" s="3" t="s">
        <v>9</v>
      </c>
      <c r="E2" s="3" t="s">
        <v>116</v>
      </c>
      <c r="F2" s="3" t="s">
        <v>117</v>
      </c>
      <c r="G2" s="3" t="s">
        <v>118</v>
      </c>
      <c r="H2" s="4" t="s">
        <v>10</v>
      </c>
    </row>
    <row r="3" spans="1:8" ht="72.5" x14ac:dyDescent="0.35">
      <c r="A3" s="3" t="s">
        <v>6</v>
      </c>
      <c r="B3" s="3" t="s">
        <v>7</v>
      </c>
      <c r="C3" s="3" t="s">
        <v>8</v>
      </c>
      <c r="D3" s="3" t="s">
        <v>9</v>
      </c>
      <c r="E3" s="3" t="s">
        <v>119</v>
      </c>
      <c r="F3" s="3" t="s">
        <v>120</v>
      </c>
      <c r="G3" s="3" t="s">
        <v>121</v>
      </c>
      <c r="H3" s="4" t="s">
        <v>10</v>
      </c>
    </row>
    <row r="4" spans="1:8" ht="203" x14ac:dyDescent="0.35">
      <c r="A4" s="3" t="s">
        <v>6</v>
      </c>
      <c r="B4" s="3" t="s">
        <v>7</v>
      </c>
      <c r="C4" s="3" t="s">
        <v>8</v>
      </c>
      <c r="D4" s="3" t="s">
        <v>9</v>
      </c>
      <c r="E4" s="3" t="s">
        <v>122</v>
      </c>
      <c r="F4" s="3" t="s">
        <v>123</v>
      </c>
      <c r="G4" s="3" t="s">
        <v>124</v>
      </c>
      <c r="H4" s="4" t="s">
        <v>10</v>
      </c>
    </row>
    <row r="5" spans="1:8" ht="87" x14ac:dyDescent="0.35">
      <c r="A5" s="3" t="s">
        <v>6</v>
      </c>
      <c r="B5" s="3" t="s">
        <v>7</v>
      </c>
      <c r="C5" s="3" t="s">
        <v>8</v>
      </c>
      <c r="D5" s="3" t="s">
        <v>9</v>
      </c>
      <c r="E5" s="3" t="s">
        <v>125</v>
      </c>
      <c r="F5" s="3" t="s">
        <v>126</v>
      </c>
      <c r="G5" s="3" t="s">
        <v>127</v>
      </c>
      <c r="H5" s="4" t="s">
        <v>10</v>
      </c>
    </row>
    <row r="6" spans="1:8" ht="130.5" x14ac:dyDescent="0.35">
      <c r="A6" s="3" t="s">
        <v>6</v>
      </c>
      <c r="B6" s="3" t="s">
        <v>7</v>
      </c>
      <c r="C6" s="3" t="s">
        <v>8</v>
      </c>
      <c r="D6" s="3" t="s">
        <v>9</v>
      </c>
      <c r="E6" s="3" t="s">
        <v>128</v>
      </c>
      <c r="F6" s="3" t="s">
        <v>129</v>
      </c>
      <c r="G6" s="3" t="s">
        <v>130</v>
      </c>
      <c r="H6" s="4" t="s">
        <v>10</v>
      </c>
    </row>
    <row r="7" spans="1:8" ht="58" x14ac:dyDescent="0.35">
      <c r="A7" s="3" t="s">
        <v>6</v>
      </c>
      <c r="B7" s="3" t="s">
        <v>7</v>
      </c>
      <c r="C7" s="3" t="s">
        <v>8</v>
      </c>
      <c r="D7" s="3" t="s">
        <v>9</v>
      </c>
      <c r="E7" s="3" t="s">
        <v>131</v>
      </c>
      <c r="F7" s="3" t="s">
        <v>132</v>
      </c>
      <c r="G7" s="3" t="s">
        <v>133</v>
      </c>
      <c r="H7" s="4" t="s">
        <v>10</v>
      </c>
    </row>
    <row r="8" spans="1:8" ht="72.5" x14ac:dyDescent="0.35">
      <c r="A8" s="5" t="s">
        <v>11</v>
      </c>
      <c r="B8" s="5" t="s">
        <v>12</v>
      </c>
      <c r="C8" s="5" t="s">
        <v>13</v>
      </c>
      <c r="D8" s="5" t="s">
        <v>14</v>
      </c>
      <c r="E8" s="5" t="s">
        <v>134</v>
      </c>
      <c r="F8" s="5" t="s">
        <v>135</v>
      </c>
      <c r="G8" s="5" t="s">
        <v>136</v>
      </c>
      <c r="H8" s="5"/>
    </row>
    <row r="9" spans="1:8" ht="72.5" x14ac:dyDescent="0.35">
      <c r="A9" s="5" t="s">
        <v>11</v>
      </c>
      <c r="B9" s="5" t="s">
        <v>12</v>
      </c>
      <c r="C9" s="5" t="s">
        <v>13</v>
      </c>
      <c r="D9" s="5" t="s">
        <v>14</v>
      </c>
      <c r="E9" s="5" t="s">
        <v>137</v>
      </c>
      <c r="F9" s="5" t="s">
        <v>138</v>
      </c>
      <c r="G9" s="5" t="s">
        <v>139</v>
      </c>
      <c r="H9" s="5"/>
    </row>
    <row r="10" spans="1:8" ht="130.5" x14ac:dyDescent="0.35">
      <c r="A10" s="5" t="s">
        <v>11</v>
      </c>
      <c r="B10" s="5" t="s">
        <v>12</v>
      </c>
      <c r="C10" s="5" t="s">
        <v>13</v>
      </c>
      <c r="D10" s="5" t="s">
        <v>14</v>
      </c>
      <c r="E10" s="5" t="s">
        <v>140</v>
      </c>
      <c r="F10" s="5" t="s">
        <v>141</v>
      </c>
      <c r="G10" s="5" t="s">
        <v>142</v>
      </c>
      <c r="H10" s="5" t="s">
        <v>15</v>
      </c>
    </row>
    <row r="11" spans="1:8" ht="72.5" x14ac:dyDescent="0.35">
      <c r="A11" s="5" t="s">
        <v>11</v>
      </c>
      <c r="B11" s="5" t="s">
        <v>12</v>
      </c>
      <c r="C11" s="5" t="s">
        <v>13</v>
      </c>
      <c r="D11" s="5" t="s">
        <v>14</v>
      </c>
      <c r="E11" s="5" t="s">
        <v>143</v>
      </c>
      <c r="F11" s="5" t="s">
        <v>144</v>
      </c>
      <c r="G11" s="5" t="s">
        <v>145</v>
      </c>
      <c r="H11" s="5"/>
    </row>
    <row r="12" spans="1:8" ht="116" x14ac:dyDescent="0.35">
      <c r="A12" s="5" t="s">
        <v>11</v>
      </c>
      <c r="B12" s="5" t="s">
        <v>12</v>
      </c>
      <c r="C12" s="5" t="s">
        <v>13</v>
      </c>
      <c r="D12" s="5" t="s">
        <v>14</v>
      </c>
      <c r="E12" s="5" t="s">
        <v>146</v>
      </c>
      <c r="F12" s="5" t="s">
        <v>147</v>
      </c>
      <c r="G12" s="5" t="s">
        <v>148</v>
      </c>
      <c r="H12" s="5"/>
    </row>
    <row r="13" spans="1:8" ht="159.5" x14ac:dyDescent="0.35">
      <c r="A13" s="3" t="s">
        <v>16</v>
      </c>
      <c r="B13" s="3" t="s">
        <v>12</v>
      </c>
      <c r="C13" s="3" t="s">
        <v>17</v>
      </c>
      <c r="D13" s="3" t="s">
        <v>18</v>
      </c>
      <c r="E13" s="3" t="s">
        <v>149</v>
      </c>
      <c r="F13" s="3" t="s">
        <v>150</v>
      </c>
      <c r="G13" s="3" t="s">
        <v>151</v>
      </c>
      <c r="H13" s="3" t="s">
        <v>152</v>
      </c>
    </row>
    <row r="14" spans="1:8" ht="130.5" x14ac:dyDescent="0.35">
      <c r="A14" s="3" t="s">
        <v>16</v>
      </c>
      <c r="B14" s="3" t="s">
        <v>12</v>
      </c>
      <c r="C14" s="3" t="s">
        <v>17</v>
      </c>
      <c r="D14" s="3" t="s">
        <v>18</v>
      </c>
      <c r="E14" s="3" t="s">
        <v>153</v>
      </c>
      <c r="F14" s="3" t="s">
        <v>154</v>
      </c>
      <c r="G14" s="3" t="s">
        <v>155</v>
      </c>
      <c r="H14" s="3"/>
    </row>
    <row r="15" spans="1:8" ht="130.5" x14ac:dyDescent="0.35">
      <c r="A15" s="3" t="s">
        <v>16</v>
      </c>
      <c r="B15" s="3" t="s">
        <v>12</v>
      </c>
      <c r="C15" s="3" t="s">
        <v>17</v>
      </c>
      <c r="D15" s="3" t="s">
        <v>18</v>
      </c>
      <c r="E15" s="3" t="s">
        <v>156</v>
      </c>
      <c r="F15" s="3" t="s">
        <v>157</v>
      </c>
      <c r="G15" s="3" t="s">
        <v>158</v>
      </c>
      <c r="H15" s="3" t="s">
        <v>159</v>
      </c>
    </row>
    <row r="16" spans="1:8" ht="101.5" x14ac:dyDescent="0.35">
      <c r="A16" s="3" t="s">
        <v>16</v>
      </c>
      <c r="B16" s="3" t="s">
        <v>12</v>
      </c>
      <c r="C16" s="3" t="s">
        <v>17</v>
      </c>
      <c r="D16" s="3" t="s">
        <v>18</v>
      </c>
      <c r="E16" s="3" t="s">
        <v>162</v>
      </c>
      <c r="F16" s="3" t="s">
        <v>160</v>
      </c>
      <c r="G16" s="3" t="s">
        <v>161</v>
      </c>
      <c r="H16" s="3"/>
    </row>
    <row r="17" spans="1:8" ht="101.5" x14ac:dyDescent="0.35">
      <c r="A17" s="3" t="s">
        <v>16</v>
      </c>
      <c r="B17" s="3" t="s">
        <v>12</v>
      </c>
      <c r="C17" s="3" t="s">
        <v>17</v>
      </c>
      <c r="D17" s="3" t="s">
        <v>18</v>
      </c>
      <c r="E17" s="3" t="s">
        <v>163</v>
      </c>
      <c r="F17" s="3" t="s">
        <v>164</v>
      </c>
      <c r="G17" s="3" t="s">
        <v>165</v>
      </c>
      <c r="H17" s="3"/>
    </row>
    <row r="18" spans="1:8" ht="130.5" x14ac:dyDescent="0.35">
      <c r="A18" s="5" t="s">
        <v>19</v>
      </c>
      <c r="B18" s="5" t="s">
        <v>12</v>
      </c>
      <c r="C18" s="5" t="s">
        <v>20</v>
      </c>
      <c r="D18" s="5" t="s">
        <v>21</v>
      </c>
      <c r="E18" s="5" t="s">
        <v>166</v>
      </c>
      <c r="F18" s="5" t="s">
        <v>167</v>
      </c>
      <c r="G18" s="5" t="s">
        <v>168</v>
      </c>
      <c r="H18" s="5" t="s">
        <v>169</v>
      </c>
    </row>
    <row r="19" spans="1:8" ht="409.5" x14ac:dyDescent="0.35">
      <c r="A19" s="5" t="s">
        <v>19</v>
      </c>
      <c r="B19" s="5" t="s">
        <v>12</v>
      </c>
      <c r="C19" s="5" t="s">
        <v>20</v>
      </c>
      <c r="D19" s="5" t="s">
        <v>21</v>
      </c>
      <c r="E19" s="5" t="s">
        <v>170</v>
      </c>
      <c r="F19" s="5" t="s">
        <v>171</v>
      </c>
      <c r="G19" s="5" t="s">
        <v>172</v>
      </c>
      <c r="H19" s="5" t="s">
        <v>173</v>
      </c>
    </row>
    <row r="20" spans="1:8" ht="72.5" x14ac:dyDescent="0.35">
      <c r="A20" s="3" t="s">
        <v>22</v>
      </c>
      <c r="B20" s="3" t="s">
        <v>1477</v>
      </c>
      <c r="C20" s="3" t="s">
        <v>23</v>
      </c>
      <c r="D20" s="3" t="s">
        <v>24</v>
      </c>
      <c r="E20" s="3" t="s">
        <v>174</v>
      </c>
      <c r="F20" s="3" t="s">
        <v>175</v>
      </c>
      <c r="G20" s="3" t="s">
        <v>176</v>
      </c>
      <c r="H20" s="3"/>
    </row>
    <row r="21" spans="1:8" ht="203" x14ac:dyDescent="0.35">
      <c r="A21" s="3" t="s">
        <v>22</v>
      </c>
      <c r="B21" s="3" t="s">
        <v>1477</v>
      </c>
      <c r="C21" s="3" t="s">
        <v>23</v>
      </c>
      <c r="D21" s="3" t="s">
        <v>24</v>
      </c>
      <c r="E21" s="3" t="s">
        <v>177</v>
      </c>
      <c r="F21" s="3" t="s">
        <v>178</v>
      </c>
      <c r="G21" s="3" t="s">
        <v>179</v>
      </c>
      <c r="H21" s="3" t="s">
        <v>180</v>
      </c>
    </row>
    <row r="22" spans="1:8" ht="87" x14ac:dyDescent="0.35">
      <c r="A22" s="3" t="s">
        <v>22</v>
      </c>
      <c r="B22" s="3" t="s">
        <v>1477</v>
      </c>
      <c r="C22" s="3" t="s">
        <v>23</v>
      </c>
      <c r="D22" s="3" t="s">
        <v>24</v>
      </c>
      <c r="E22" s="3" t="s">
        <v>181</v>
      </c>
      <c r="F22" s="3" t="s">
        <v>182</v>
      </c>
      <c r="G22" s="3" t="s">
        <v>183</v>
      </c>
      <c r="H22" s="3"/>
    </row>
    <row r="23" spans="1:8" ht="246.5" x14ac:dyDescent="0.35">
      <c r="A23" s="5" t="s">
        <v>25</v>
      </c>
      <c r="B23" s="5" t="s">
        <v>12</v>
      </c>
      <c r="C23" s="5" t="s">
        <v>17</v>
      </c>
      <c r="D23" s="5" t="s">
        <v>26</v>
      </c>
      <c r="E23" s="5" t="s">
        <v>27</v>
      </c>
      <c r="F23" s="5" t="s">
        <v>0</v>
      </c>
      <c r="G23" s="5" t="s">
        <v>28</v>
      </c>
      <c r="H23" s="5" t="s">
        <v>29</v>
      </c>
    </row>
    <row r="24" spans="1:8" ht="58" x14ac:dyDescent="0.35">
      <c r="A24" s="3" t="s">
        <v>30</v>
      </c>
      <c r="B24" s="3" t="s">
        <v>12</v>
      </c>
      <c r="C24" s="3" t="s">
        <v>31</v>
      </c>
      <c r="D24" s="3" t="s">
        <v>32</v>
      </c>
      <c r="E24" s="3" t="s">
        <v>184</v>
      </c>
      <c r="F24" s="3" t="s">
        <v>185</v>
      </c>
      <c r="G24" s="3" t="s">
        <v>186</v>
      </c>
      <c r="H24" s="3" t="s">
        <v>10</v>
      </c>
    </row>
    <row r="25" spans="1:8" ht="43.5" x14ac:dyDescent="0.35">
      <c r="A25" s="3" t="s">
        <v>30</v>
      </c>
      <c r="B25" s="3" t="s">
        <v>12</v>
      </c>
      <c r="C25" s="3" t="s">
        <v>31</v>
      </c>
      <c r="D25" s="3" t="s">
        <v>32</v>
      </c>
      <c r="E25" s="3" t="s">
        <v>187</v>
      </c>
      <c r="F25" s="3" t="s">
        <v>188</v>
      </c>
      <c r="G25" s="3" t="s">
        <v>189</v>
      </c>
      <c r="H25" s="3" t="s">
        <v>10</v>
      </c>
    </row>
    <row r="26" spans="1:8" ht="43.5" x14ac:dyDescent="0.35">
      <c r="A26" s="3" t="s">
        <v>30</v>
      </c>
      <c r="B26" s="3" t="s">
        <v>12</v>
      </c>
      <c r="C26" s="3" t="s">
        <v>31</v>
      </c>
      <c r="D26" s="3" t="s">
        <v>32</v>
      </c>
      <c r="E26" s="3" t="s">
        <v>190</v>
      </c>
      <c r="F26" s="3" t="s">
        <v>191</v>
      </c>
      <c r="G26" s="3" t="s">
        <v>192</v>
      </c>
      <c r="H26" s="3" t="s">
        <v>10</v>
      </c>
    </row>
    <row r="27" spans="1:8" ht="43.5" x14ac:dyDescent="0.35">
      <c r="A27" s="3" t="s">
        <v>30</v>
      </c>
      <c r="B27" s="3" t="s">
        <v>12</v>
      </c>
      <c r="C27" s="3" t="s">
        <v>31</v>
      </c>
      <c r="D27" s="3" t="s">
        <v>32</v>
      </c>
      <c r="E27" s="3" t="s">
        <v>193</v>
      </c>
      <c r="F27" s="3" t="s">
        <v>194</v>
      </c>
      <c r="G27" s="3" t="s">
        <v>195</v>
      </c>
      <c r="H27" s="3" t="s">
        <v>10</v>
      </c>
    </row>
    <row r="28" spans="1:8" ht="43.5" x14ac:dyDescent="0.35">
      <c r="A28" s="3" t="s">
        <v>30</v>
      </c>
      <c r="B28" s="3" t="s">
        <v>12</v>
      </c>
      <c r="C28" s="3" t="s">
        <v>31</v>
      </c>
      <c r="D28" s="3" t="s">
        <v>32</v>
      </c>
      <c r="E28" s="3" t="s">
        <v>196</v>
      </c>
      <c r="F28" s="3" t="s">
        <v>197</v>
      </c>
      <c r="G28" s="3" t="s">
        <v>198</v>
      </c>
      <c r="H28" s="3" t="s">
        <v>10</v>
      </c>
    </row>
    <row r="29" spans="1:8" ht="43.5" x14ac:dyDescent="0.35">
      <c r="A29" s="3" t="s">
        <v>30</v>
      </c>
      <c r="B29" s="3" t="s">
        <v>12</v>
      </c>
      <c r="C29" s="3" t="s">
        <v>31</v>
      </c>
      <c r="D29" s="3" t="s">
        <v>32</v>
      </c>
      <c r="E29" s="3" t="s">
        <v>199</v>
      </c>
      <c r="F29" s="3" t="s">
        <v>200</v>
      </c>
      <c r="G29" s="3" t="s">
        <v>201</v>
      </c>
      <c r="H29" s="3" t="s">
        <v>10</v>
      </c>
    </row>
    <row r="30" spans="1:8" ht="87" x14ac:dyDescent="0.35">
      <c r="A30" s="5" t="s">
        <v>33</v>
      </c>
      <c r="B30" s="5" t="s">
        <v>12</v>
      </c>
      <c r="C30" s="5" t="s">
        <v>34</v>
      </c>
      <c r="D30" s="5" t="s">
        <v>35</v>
      </c>
      <c r="E30" s="5" t="s">
        <v>202</v>
      </c>
      <c r="F30" s="5" t="s">
        <v>203</v>
      </c>
      <c r="G30" s="5" t="s">
        <v>204</v>
      </c>
      <c r="H30" s="5" t="s">
        <v>10</v>
      </c>
    </row>
    <row r="31" spans="1:8" ht="43.5" x14ac:dyDescent="0.35">
      <c r="A31" s="5" t="s">
        <v>33</v>
      </c>
      <c r="B31" s="5" t="s">
        <v>12</v>
      </c>
      <c r="C31" s="5" t="s">
        <v>34</v>
      </c>
      <c r="D31" s="5" t="s">
        <v>35</v>
      </c>
      <c r="E31" s="5" t="s">
        <v>205</v>
      </c>
      <c r="F31" s="5" t="s">
        <v>206</v>
      </c>
      <c r="G31" s="5" t="s">
        <v>207</v>
      </c>
      <c r="H31" s="5" t="s">
        <v>10</v>
      </c>
    </row>
    <row r="32" spans="1:8" ht="101.5" x14ac:dyDescent="0.35">
      <c r="A32" s="5" t="s">
        <v>33</v>
      </c>
      <c r="B32" s="5" t="s">
        <v>12</v>
      </c>
      <c r="C32" s="5" t="s">
        <v>34</v>
      </c>
      <c r="D32" s="5" t="s">
        <v>35</v>
      </c>
      <c r="E32" s="5" t="s">
        <v>208</v>
      </c>
      <c r="F32" s="5" t="s">
        <v>209</v>
      </c>
      <c r="G32" s="5" t="s">
        <v>210</v>
      </c>
      <c r="H32" s="5" t="s">
        <v>10</v>
      </c>
    </row>
    <row r="33" spans="1:9" ht="58" x14ac:dyDescent="0.35">
      <c r="A33" s="5" t="s">
        <v>33</v>
      </c>
      <c r="B33" s="5" t="s">
        <v>12</v>
      </c>
      <c r="C33" s="5" t="s">
        <v>34</v>
      </c>
      <c r="D33" s="5" t="s">
        <v>35</v>
      </c>
      <c r="E33" s="5" t="s">
        <v>211</v>
      </c>
      <c r="F33" s="5" t="s">
        <v>212</v>
      </c>
      <c r="G33" s="5" t="s">
        <v>216</v>
      </c>
      <c r="H33" s="5" t="s">
        <v>10</v>
      </c>
    </row>
    <row r="34" spans="1:9" ht="101.5" x14ac:dyDescent="0.35">
      <c r="A34" s="5" t="s">
        <v>33</v>
      </c>
      <c r="B34" s="5" t="s">
        <v>12</v>
      </c>
      <c r="C34" s="5" t="s">
        <v>34</v>
      </c>
      <c r="D34" s="5" t="s">
        <v>35</v>
      </c>
      <c r="E34" s="5" t="s">
        <v>213</v>
      </c>
      <c r="F34" s="5" t="s">
        <v>214</v>
      </c>
      <c r="G34" s="5" t="s">
        <v>215</v>
      </c>
      <c r="H34" s="5" t="s">
        <v>10</v>
      </c>
    </row>
    <row r="35" spans="1:9" ht="58" x14ac:dyDescent="0.35">
      <c r="A35" s="3" t="s">
        <v>36</v>
      </c>
      <c r="B35" s="3" t="s">
        <v>12</v>
      </c>
      <c r="C35" s="3" t="s">
        <v>37</v>
      </c>
      <c r="D35" s="3" t="s">
        <v>38</v>
      </c>
      <c r="E35" s="3" t="s">
        <v>235</v>
      </c>
      <c r="F35" s="3" t="s">
        <v>236</v>
      </c>
      <c r="G35" s="3" t="s">
        <v>237</v>
      </c>
      <c r="H35" s="3"/>
    </row>
    <row r="36" spans="1:9" ht="174" x14ac:dyDescent="0.35">
      <c r="A36" s="3" t="s">
        <v>36</v>
      </c>
      <c r="B36" s="3" t="s">
        <v>12</v>
      </c>
      <c r="C36" s="3" t="s">
        <v>37</v>
      </c>
      <c r="D36" s="3" t="s">
        <v>38</v>
      </c>
      <c r="E36" s="3" t="s">
        <v>232</v>
      </c>
      <c r="F36" s="3" t="s">
        <v>233</v>
      </c>
      <c r="G36" s="3" t="s">
        <v>234</v>
      </c>
      <c r="H36" s="3" t="s">
        <v>39</v>
      </c>
    </row>
    <row r="37" spans="1:9" ht="58" x14ac:dyDescent="0.35">
      <c r="A37" s="3" t="s">
        <v>36</v>
      </c>
      <c r="B37" s="3" t="s">
        <v>12</v>
      </c>
      <c r="C37" s="3" t="s">
        <v>37</v>
      </c>
      <c r="D37" s="3" t="s">
        <v>38</v>
      </c>
      <c r="E37" s="3" t="s">
        <v>229</v>
      </c>
      <c r="F37" s="3" t="s">
        <v>230</v>
      </c>
      <c r="G37" s="3" t="s">
        <v>231</v>
      </c>
      <c r="H37" s="3"/>
    </row>
    <row r="38" spans="1:9" ht="43.5" x14ac:dyDescent="0.35">
      <c r="A38" s="3" t="s">
        <v>36</v>
      </c>
      <c r="B38" s="3" t="s">
        <v>12</v>
      </c>
      <c r="C38" s="3" t="s">
        <v>37</v>
      </c>
      <c r="D38" s="3" t="s">
        <v>38</v>
      </c>
      <c r="E38" s="3" t="s">
        <v>226</v>
      </c>
      <c r="F38" s="3" t="s">
        <v>227</v>
      </c>
      <c r="G38" s="3" t="s">
        <v>228</v>
      </c>
      <c r="H38" s="3"/>
    </row>
    <row r="39" spans="1:9" ht="58" x14ac:dyDescent="0.35">
      <c r="A39" s="3" t="s">
        <v>36</v>
      </c>
      <c r="B39" s="3" t="s">
        <v>12</v>
      </c>
      <c r="C39" s="3" t="s">
        <v>37</v>
      </c>
      <c r="D39" s="3" t="s">
        <v>38</v>
      </c>
      <c r="E39" s="3" t="s">
        <v>223</v>
      </c>
      <c r="F39" s="3" t="s">
        <v>224</v>
      </c>
      <c r="G39" s="3" t="s">
        <v>225</v>
      </c>
      <c r="H39" s="3"/>
    </row>
    <row r="40" spans="1:9" ht="58" x14ac:dyDescent="0.35">
      <c r="A40" s="3" t="s">
        <v>36</v>
      </c>
      <c r="B40" s="3" t="s">
        <v>12</v>
      </c>
      <c r="C40" s="3" t="s">
        <v>37</v>
      </c>
      <c r="D40" s="3" t="s">
        <v>38</v>
      </c>
      <c r="E40" s="3" t="s">
        <v>220</v>
      </c>
      <c r="F40" s="3" t="s">
        <v>221</v>
      </c>
      <c r="G40" s="3" t="s">
        <v>222</v>
      </c>
      <c r="H40" s="3"/>
    </row>
    <row r="41" spans="1:9" ht="58" x14ac:dyDescent="0.35">
      <c r="A41" s="3" t="s">
        <v>36</v>
      </c>
      <c r="B41" s="3" t="s">
        <v>12</v>
      </c>
      <c r="C41" s="3" t="s">
        <v>37</v>
      </c>
      <c r="D41" s="3" t="s">
        <v>38</v>
      </c>
      <c r="E41" s="3" t="s">
        <v>217</v>
      </c>
      <c r="F41" s="3" t="s">
        <v>218</v>
      </c>
      <c r="G41" s="3" t="s">
        <v>219</v>
      </c>
      <c r="H41" s="2"/>
      <c r="I41" s="1"/>
    </row>
    <row r="42" spans="1:9" ht="58" x14ac:dyDescent="0.35">
      <c r="A42" s="5" t="s">
        <v>40</v>
      </c>
      <c r="B42" s="5" t="s">
        <v>12</v>
      </c>
      <c r="C42" s="5" t="s">
        <v>41</v>
      </c>
      <c r="D42" s="5" t="s">
        <v>42</v>
      </c>
      <c r="E42" s="5" t="s">
        <v>249</v>
      </c>
      <c r="F42" s="5" t="s">
        <v>250</v>
      </c>
      <c r="G42" s="5" t="s">
        <v>251</v>
      </c>
      <c r="H42" s="5"/>
    </row>
    <row r="43" spans="1:9" ht="159.5" x14ac:dyDescent="0.35">
      <c r="A43" s="5" t="s">
        <v>40</v>
      </c>
      <c r="B43" s="5" t="s">
        <v>12</v>
      </c>
      <c r="C43" s="5" t="s">
        <v>41</v>
      </c>
      <c r="D43" s="5" t="s">
        <v>42</v>
      </c>
      <c r="E43" s="5" t="s">
        <v>245</v>
      </c>
      <c r="F43" s="5" t="s">
        <v>246</v>
      </c>
      <c r="G43" s="5" t="s">
        <v>247</v>
      </c>
      <c r="H43" s="5" t="s">
        <v>248</v>
      </c>
    </row>
    <row r="44" spans="1:9" ht="87" x14ac:dyDescent="0.35">
      <c r="A44" s="5" t="s">
        <v>40</v>
      </c>
      <c r="B44" s="5" t="s">
        <v>12</v>
      </c>
      <c r="C44" s="5" t="s">
        <v>41</v>
      </c>
      <c r="D44" s="5" t="s">
        <v>42</v>
      </c>
      <c r="E44" s="5" t="s">
        <v>242</v>
      </c>
      <c r="F44" s="5" t="s">
        <v>243</v>
      </c>
      <c r="G44" s="5" t="s">
        <v>244</v>
      </c>
      <c r="H44" s="5"/>
    </row>
    <row r="45" spans="1:9" ht="116" x14ac:dyDescent="0.35">
      <c r="A45" s="5" t="s">
        <v>40</v>
      </c>
      <c r="B45" s="5" t="s">
        <v>12</v>
      </c>
      <c r="C45" s="5" t="s">
        <v>41</v>
      </c>
      <c r="D45" s="5" t="s">
        <v>42</v>
      </c>
      <c r="E45" s="5" t="s">
        <v>238</v>
      </c>
      <c r="F45" s="5" t="s">
        <v>239</v>
      </c>
      <c r="G45" s="5" t="s">
        <v>240</v>
      </c>
      <c r="H45" s="5" t="s">
        <v>241</v>
      </c>
    </row>
    <row r="46" spans="1:9" ht="43.5" x14ac:dyDescent="0.35">
      <c r="A46" s="3" t="s">
        <v>43</v>
      </c>
      <c r="B46" s="3" t="s">
        <v>44</v>
      </c>
      <c r="C46" s="3" t="s">
        <v>45</v>
      </c>
      <c r="D46" s="3" t="s">
        <v>46</v>
      </c>
      <c r="E46" s="3" t="s">
        <v>252</v>
      </c>
      <c r="F46" s="3" t="s">
        <v>253</v>
      </c>
      <c r="G46" s="3" t="s">
        <v>254</v>
      </c>
      <c r="H46" s="3"/>
    </row>
    <row r="47" spans="1:9" ht="43.5" x14ac:dyDescent="0.35">
      <c r="A47" s="3" t="s">
        <v>43</v>
      </c>
      <c r="B47" s="3" t="s">
        <v>44</v>
      </c>
      <c r="C47" s="3" t="s">
        <v>45</v>
      </c>
      <c r="D47" s="3" t="s">
        <v>46</v>
      </c>
      <c r="E47" s="3" t="s">
        <v>255</v>
      </c>
      <c r="F47" s="3" t="s">
        <v>256</v>
      </c>
      <c r="G47" s="3" t="s">
        <v>257</v>
      </c>
      <c r="H47" s="3"/>
    </row>
    <row r="48" spans="1:9" ht="87" x14ac:dyDescent="0.35">
      <c r="A48" s="3" t="s">
        <v>43</v>
      </c>
      <c r="B48" s="3" t="s">
        <v>44</v>
      </c>
      <c r="C48" s="3" t="s">
        <v>45</v>
      </c>
      <c r="D48" s="3" t="s">
        <v>46</v>
      </c>
      <c r="E48" s="3" t="s">
        <v>261</v>
      </c>
      <c r="F48" s="3" t="s">
        <v>258</v>
      </c>
      <c r="G48" s="3" t="s">
        <v>259</v>
      </c>
      <c r="H48" s="3" t="s">
        <v>260</v>
      </c>
    </row>
    <row r="49" spans="1:8" ht="87" x14ac:dyDescent="0.35">
      <c r="A49" s="3" t="s">
        <v>43</v>
      </c>
      <c r="B49" s="3" t="s">
        <v>44</v>
      </c>
      <c r="C49" s="3" t="s">
        <v>45</v>
      </c>
      <c r="D49" s="3" t="s">
        <v>46</v>
      </c>
      <c r="E49" s="3" t="s">
        <v>262</v>
      </c>
      <c r="F49" s="3" t="s">
        <v>263</v>
      </c>
      <c r="G49" s="3" t="s">
        <v>264</v>
      </c>
      <c r="H49" s="3"/>
    </row>
    <row r="50" spans="1:8" ht="130.5" x14ac:dyDescent="0.35">
      <c r="A50" s="3" t="s">
        <v>43</v>
      </c>
      <c r="B50" s="3" t="s">
        <v>44</v>
      </c>
      <c r="C50" s="3" t="s">
        <v>45</v>
      </c>
      <c r="D50" s="3" t="s">
        <v>46</v>
      </c>
      <c r="E50" s="3" t="s">
        <v>265</v>
      </c>
      <c r="F50" s="3" t="s">
        <v>266</v>
      </c>
      <c r="G50" s="3" t="s">
        <v>267</v>
      </c>
      <c r="H50" s="3" t="s">
        <v>268</v>
      </c>
    </row>
    <row r="51" spans="1:8" ht="145" x14ac:dyDescent="0.35">
      <c r="A51" s="3" t="s">
        <v>43</v>
      </c>
      <c r="B51" s="3" t="s">
        <v>44</v>
      </c>
      <c r="C51" s="3" t="s">
        <v>45</v>
      </c>
      <c r="D51" s="3" t="s">
        <v>46</v>
      </c>
      <c r="E51" s="3" t="s">
        <v>269</v>
      </c>
      <c r="F51" s="3" t="s">
        <v>270</v>
      </c>
      <c r="G51" s="3" t="s">
        <v>271</v>
      </c>
      <c r="H51" s="3"/>
    </row>
    <row r="52" spans="1:8" ht="43.5" x14ac:dyDescent="0.35">
      <c r="A52" s="5" t="s">
        <v>47</v>
      </c>
      <c r="B52" s="5" t="s">
        <v>44</v>
      </c>
      <c r="C52" s="5" t="s">
        <v>48</v>
      </c>
      <c r="D52" s="5" t="s">
        <v>49</v>
      </c>
      <c r="E52" s="5" t="s">
        <v>272</v>
      </c>
      <c r="F52" s="5" t="s">
        <v>273</v>
      </c>
      <c r="G52" s="5" t="s">
        <v>274</v>
      </c>
      <c r="H52" s="5"/>
    </row>
    <row r="53" spans="1:8" ht="101.5" x14ac:dyDescent="0.35">
      <c r="A53" s="5" t="s">
        <v>47</v>
      </c>
      <c r="B53" s="5" t="s">
        <v>44</v>
      </c>
      <c r="C53" s="5" t="s">
        <v>48</v>
      </c>
      <c r="D53" s="5" t="s">
        <v>49</v>
      </c>
      <c r="E53" s="5" t="s">
        <v>275</v>
      </c>
      <c r="F53" s="5" t="s">
        <v>276</v>
      </c>
      <c r="G53" s="5" t="s">
        <v>277</v>
      </c>
      <c r="H53" s="5"/>
    </row>
    <row r="54" spans="1:8" ht="232" x14ac:dyDescent="0.35">
      <c r="A54" s="5" t="s">
        <v>47</v>
      </c>
      <c r="B54" s="5" t="s">
        <v>44</v>
      </c>
      <c r="C54" s="5" t="s">
        <v>48</v>
      </c>
      <c r="D54" s="5" t="s">
        <v>49</v>
      </c>
      <c r="E54" s="5" t="s">
        <v>278</v>
      </c>
      <c r="F54" s="5" t="s">
        <v>279</v>
      </c>
      <c r="G54" s="5" t="s">
        <v>280</v>
      </c>
      <c r="H54" s="5" t="s">
        <v>50</v>
      </c>
    </row>
    <row r="55" spans="1:8" ht="43.5" x14ac:dyDescent="0.35">
      <c r="A55" s="5" t="s">
        <v>47</v>
      </c>
      <c r="B55" s="5" t="s">
        <v>44</v>
      </c>
      <c r="C55" s="5" t="s">
        <v>48</v>
      </c>
      <c r="D55" s="5" t="s">
        <v>49</v>
      </c>
      <c r="E55" s="5" t="s">
        <v>281</v>
      </c>
      <c r="F55" s="5" t="s">
        <v>282</v>
      </c>
      <c r="G55" s="5" t="s">
        <v>283</v>
      </c>
      <c r="H55" s="5"/>
    </row>
    <row r="56" spans="1:8" ht="58" x14ac:dyDescent="0.35">
      <c r="A56" s="5" t="s">
        <v>47</v>
      </c>
      <c r="B56" s="5" t="s">
        <v>44</v>
      </c>
      <c r="C56" s="5" t="s">
        <v>48</v>
      </c>
      <c r="D56" s="5" t="s">
        <v>49</v>
      </c>
      <c r="E56" s="5" t="s">
        <v>284</v>
      </c>
      <c r="F56" s="5" t="s">
        <v>285</v>
      </c>
      <c r="G56" s="5" t="s">
        <v>286</v>
      </c>
      <c r="H56" s="5"/>
    </row>
    <row r="57" spans="1:8" ht="58" x14ac:dyDescent="0.35">
      <c r="A57" s="3" t="s">
        <v>51</v>
      </c>
      <c r="B57" s="3" t="s">
        <v>7</v>
      </c>
      <c r="C57" s="3" t="s">
        <v>52</v>
      </c>
      <c r="D57" s="3" t="s">
        <v>53</v>
      </c>
      <c r="E57" s="3" t="s">
        <v>287</v>
      </c>
      <c r="F57" s="3" t="s">
        <v>288</v>
      </c>
      <c r="G57" s="3" t="s">
        <v>289</v>
      </c>
      <c r="H57" s="3" t="s">
        <v>10</v>
      </c>
    </row>
    <row r="58" spans="1:8" ht="72.5" x14ac:dyDescent="0.35">
      <c r="A58" s="3" t="s">
        <v>51</v>
      </c>
      <c r="B58" s="3" t="s">
        <v>7</v>
      </c>
      <c r="C58" s="3" t="s">
        <v>52</v>
      </c>
      <c r="D58" s="3" t="s">
        <v>53</v>
      </c>
      <c r="E58" s="3" t="s">
        <v>290</v>
      </c>
      <c r="F58" s="3" t="s">
        <v>291</v>
      </c>
      <c r="G58" s="3" t="s">
        <v>292</v>
      </c>
      <c r="H58" s="3" t="s">
        <v>10</v>
      </c>
    </row>
    <row r="59" spans="1:8" ht="145" x14ac:dyDescent="0.35">
      <c r="A59" s="3" t="s">
        <v>51</v>
      </c>
      <c r="B59" s="3" t="s">
        <v>7</v>
      </c>
      <c r="C59" s="3" t="s">
        <v>52</v>
      </c>
      <c r="D59" s="3" t="s">
        <v>53</v>
      </c>
      <c r="E59" s="3" t="s">
        <v>293</v>
      </c>
      <c r="F59" s="3" t="s">
        <v>294</v>
      </c>
      <c r="G59" s="3" t="s">
        <v>295</v>
      </c>
      <c r="H59" s="3" t="s">
        <v>10</v>
      </c>
    </row>
    <row r="60" spans="1:8" ht="43.5" x14ac:dyDescent="0.35">
      <c r="A60" s="3" t="s">
        <v>51</v>
      </c>
      <c r="B60" s="3" t="s">
        <v>7</v>
      </c>
      <c r="C60" s="3" t="s">
        <v>52</v>
      </c>
      <c r="D60" s="3" t="s">
        <v>53</v>
      </c>
      <c r="E60" s="3" t="s">
        <v>296</v>
      </c>
      <c r="F60" s="3" t="s">
        <v>297</v>
      </c>
      <c r="G60" s="3" t="s">
        <v>298</v>
      </c>
      <c r="H60" s="3" t="s">
        <v>10</v>
      </c>
    </row>
    <row r="61" spans="1:8" ht="116" x14ac:dyDescent="0.35">
      <c r="A61" s="3" t="s">
        <v>51</v>
      </c>
      <c r="B61" s="3" t="s">
        <v>7</v>
      </c>
      <c r="C61" s="3" t="s">
        <v>52</v>
      </c>
      <c r="D61" s="3" t="s">
        <v>53</v>
      </c>
      <c r="E61" s="3" t="s">
        <v>299</v>
      </c>
      <c r="F61" s="3" t="s">
        <v>300</v>
      </c>
      <c r="G61" s="3" t="s">
        <v>301</v>
      </c>
      <c r="H61" s="3" t="s">
        <v>10</v>
      </c>
    </row>
    <row r="62" spans="1:8" ht="87" x14ac:dyDescent="0.35">
      <c r="A62" s="5" t="s">
        <v>54</v>
      </c>
      <c r="B62" s="5" t="s">
        <v>12</v>
      </c>
      <c r="C62" s="5" t="s">
        <v>55</v>
      </c>
      <c r="D62" s="5" t="s">
        <v>56</v>
      </c>
      <c r="E62" s="5" t="s">
        <v>302</v>
      </c>
      <c r="F62" s="5" t="s">
        <v>303</v>
      </c>
      <c r="G62" s="5" t="s">
        <v>304</v>
      </c>
      <c r="H62" s="5" t="s">
        <v>10</v>
      </c>
    </row>
    <row r="63" spans="1:8" ht="58" x14ac:dyDescent="0.35">
      <c r="A63" s="5" t="s">
        <v>54</v>
      </c>
      <c r="B63" s="5" t="s">
        <v>12</v>
      </c>
      <c r="C63" s="5" t="s">
        <v>55</v>
      </c>
      <c r="D63" s="5" t="s">
        <v>56</v>
      </c>
      <c r="E63" s="5" t="s">
        <v>305</v>
      </c>
      <c r="F63" s="5" t="s">
        <v>306</v>
      </c>
      <c r="G63" s="5" t="s">
        <v>307</v>
      </c>
      <c r="H63" s="5" t="s">
        <v>10</v>
      </c>
    </row>
    <row r="64" spans="1:8" ht="130.5" x14ac:dyDescent="0.35">
      <c r="A64" s="3" t="s">
        <v>57</v>
      </c>
      <c r="B64" s="3" t="s">
        <v>7</v>
      </c>
      <c r="C64" s="3" t="s">
        <v>58</v>
      </c>
      <c r="D64" s="3" t="s">
        <v>59</v>
      </c>
      <c r="E64" s="3" t="s">
        <v>308</v>
      </c>
      <c r="F64" s="3" t="s">
        <v>309</v>
      </c>
      <c r="G64" s="3" t="s">
        <v>310</v>
      </c>
      <c r="H64" s="3" t="s">
        <v>311</v>
      </c>
    </row>
    <row r="65" spans="1:8" ht="217.5" x14ac:dyDescent="0.35">
      <c r="A65" s="3" t="s">
        <v>57</v>
      </c>
      <c r="B65" s="3" t="s">
        <v>7</v>
      </c>
      <c r="C65" s="3" t="s">
        <v>58</v>
      </c>
      <c r="D65" s="3" t="s">
        <v>59</v>
      </c>
      <c r="E65" s="3" t="s">
        <v>312</v>
      </c>
      <c r="F65" s="3" t="s">
        <v>313</v>
      </c>
      <c r="G65" s="3" t="s">
        <v>314</v>
      </c>
      <c r="H65" s="3" t="s">
        <v>315</v>
      </c>
    </row>
    <row r="66" spans="1:8" ht="130.5" x14ac:dyDescent="0.35">
      <c r="A66" s="3" t="s">
        <v>57</v>
      </c>
      <c r="B66" s="3" t="s">
        <v>7</v>
      </c>
      <c r="C66" s="3" t="s">
        <v>58</v>
      </c>
      <c r="D66" s="3" t="s">
        <v>59</v>
      </c>
      <c r="E66" s="3" t="s">
        <v>316</v>
      </c>
      <c r="F66" s="3" t="s">
        <v>317</v>
      </c>
      <c r="G66" s="3" t="s">
        <v>318</v>
      </c>
      <c r="H66" s="3" t="s">
        <v>319</v>
      </c>
    </row>
    <row r="67" spans="1:8" ht="72.5" x14ac:dyDescent="0.35">
      <c r="A67" s="1" t="s">
        <v>57</v>
      </c>
      <c r="B67" s="7" t="s">
        <v>7</v>
      </c>
      <c r="C67" s="7" t="s">
        <v>58</v>
      </c>
      <c r="D67" s="7" t="s">
        <v>59</v>
      </c>
      <c r="E67" s="7" t="s">
        <v>320</v>
      </c>
      <c r="F67" s="7" t="s">
        <v>321</v>
      </c>
      <c r="G67" s="7" t="s">
        <v>322</v>
      </c>
      <c r="H67" s="7"/>
    </row>
    <row r="68" spans="1:8" ht="101.5" x14ac:dyDescent="0.35">
      <c r="A68" s="3" t="s">
        <v>57</v>
      </c>
      <c r="B68" s="3" t="s">
        <v>7</v>
      </c>
      <c r="C68" s="3" t="s">
        <v>58</v>
      </c>
      <c r="D68" s="3" t="s">
        <v>59</v>
      </c>
      <c r="E68" s="3" t="s">
        <v>323</v>
      </c>
      <c r="F68" s="3" t="s">
        <v>324</v>
      </c>
      <c r="G68" s="3" t="s">
        <v>325</v>
      </c>
      <c r="H68" s="3"/>
    </row>
    <row r="69" spans="1:8" ht="43.5" x14ac:dyDescent="0.35">
      <c r="A69" s="5" t="s">
        <v>60</v>
      </c>
      <c r="B69" s="5" t="s">
        <v>44</v>
      </c>
      <c r="C69" s="5" t="s">
        <v>61</v>
      </c>
      <c r="D69" s="5" t="s">
        <v>326</v>
      </c>
      <c r="E69" s="5" t="s">
        <v>333</v>
      </c>
      <c r="F69" s="5" t="s">
        <v>334</v>
      </c>
      <c r="G69" s="5" t="s">
        <v>335</v>
      </c>
      <c r="H69" s="5"/>
    </row>
    <row r="70" spans="1:8" ht="43.5" x14ac:dyDescent="0.35">
      <c r="A70" s="5" t="s">
        <v>60</v>
      </c>
      <c r="B70" s="5" t="s">
        <v>44</v>
      </c>
      <c r="C70" s="5" t="s">
        <v>61</v>
      </c>
      <c r="D70" s="5" t="s">
        <v>327</v>
      </c>
      <c r="E70" s="5" t="s">
        <v>336</v>
      </c>
      <c r="F70" s="5" t="s">
        <v>337</v>
      </c>
      <c r="G70" s="5" t="s">
        <v>338</v>
      </c>
      <c r="H70" s="5"/>
    </row>
    <row r="71" spans="1:8" ht="72.5" x14ac:dyDescent="0.35">
      <c r="A71" s="5" t="s">
        <v>60</v>
      </c>
      <c r="B71" s="5" t="s">
        <v>44</v>
      </c>
      <c r="C71" s="5" t="s">
        <v>61</v>
      </c>
      <c r="D71" s="5" t="s">
        <v>328</v>
      </c>
      <c r="E71" s="5" t="s">
        <v>339</v>
      </c>
      <c r="F71" s="5" t="s">
        <v>340</v>
      </c>
      <c r="G71" s="5" t="s">
        <v>341</v>
      </c>
      <c r="H71" s="5"/>
    </row>
    <row r="72" spans="1:8" ht="72.5" x14ac:dyDescent="0.35">
      <c r="A72" s="5" t="s">
        <v>60</v>
      </c>
      <c r="B72" s="5" t="s">
        <v>44</v>
      </c>
      <c r="C72" s="5" t="s">
        <v>61</v>
      </c>
      <c r="D72" s="5" t="s">
        <v>329</v>
      </c>
      <c r="E72" s="5" t="s">
        <v>342</v>
      </c>
      <c r="F72" s="5" t="s">
        <v>343</v>
      </c>
      <c r="G72" s="5" t="s">
        <v>344</v>
      </c>
      <c r="H72" s="5"/>
    </row>
    <row r="73" spans="1:8" ht="87" x14ac:dyDescent="0.35">
      <c r="A73" s="5" t="s">
        <v>60</v>
      </c>
      <c r="B73" s="5" t="s">
        <v>44</v>
      </c>
      <c r="C73" s="5" t="s">
        <v>61</v>
      </c>
      <c r="D73" s="5" t="s">
        <v>330</v>
      </c>
      <c r="E73" s="5" t="s">
        <v>345</v>
      </c>
      <c r="F73" s="5" t="s">
        <v>346</v>
      </c>
      <c r="G73" s="5" t="s">
        <v>347</v>
      </c>
      <c r="H73" s="5"/>
    </row>
    <row r="74" spans="1:8" ht="101.5" x14ac:dyDescent="0.35">
      <c r="A74" s="5" t="s">
        <v>60</v>
      </c>
      <c r="B74" s="5" t="s">
        <v>44</v>
      </c>
      <c r="C74" s="5" t="s">
        <v>61</v>
      </c>
      <c r="D74" s="5" t="s">
        <v>331</v>
      </c>
      <c r="E74" s="5" t="s">
        <v>348</v>
      </c>
      <c r="F74" s="5" t="s">
        <v>349</v>
      </c>
      <c r="G74" s="5" t="s">
        <v>350</v>
      </c>
      <c r="H74" s="5"/>
    </row>
    <row r="75" spans="1:8" ht="87" x14ac:dyDescent="0.35">
      <c r="A75" s="5" t="s">
        <v>60</v>
      </c>
      <c r="B75" s="5" t="s">
        <v>44</v>
      </c>
      <c r="C75" s="5" t="s">
        <v>61</v>
      </c>
      <c r="D75" s="5" t="s">
        <v>332</v>
      </c>
      <c r="E75" s="5" t="s">
        <v>351</v>
      </c>
      <c r="F75" s="5" t="s">
        <v>352</v>
      </c>
      <c r="G75" s="5" t="s">
        <v>353</v>
      </c>
      <c r="H75" s="5"/>
    </row>
    <row r="76" spans="1:8" ht="72.5" x14ac:dyDescent="0.35">
      <c r="A76" s="3" t="s">
        <v>62</v>
      </c>
      <c r="B76" s="3" t="s">
        <v>7</v>
      </c>
      <c r="C76" s="3" t="s">
        <v>63</v>
      </c>
      <c r="D76" s="3" t="s">
        <v>64</v>
      </c>
      <c r="E76" s="3" t="s">
        <v>354</v>
      </c>
      <c r="F76" s="3" t="s">
        <v>355</v>
      </c>
      <c r="G76" s="3" t="s">
        <v>356</v>
      </c>
      <c r="H76" s="3" t="s">
        <v>65</v>
      </c>
    </row>
    <row r="77" spans="1:8" ht="87" x14ac:dyDescent="0.35">
      <c r="A77" s="3" t="s">
        <v>62</v>
      </c>
      <c r="B77" s="3" t="s">
        <v>7</v>
      </c>
      <c r="C77" s="3" t="s">
        <v>63</v>
      </c>
      <c r="D77" s="3" t="s">
        <v>64</v>
      </c>
      <c r="E77" s="3" t="s">
        <v>357</v>
      </c>
      <c r="F77" s="3" t="s">
        <v>358</v>
      </c>
      <c r="G77" s="3" t="s">
        <v>359</v>
      </c>
      <c r="H77" s="3"/>
    </row>
    <row r="78" spans="1:8" ht="101.5" x14ac:dyDescent="0.35">
      <c r="A78" s="3" t="s">
        <v>62</v>
      </c>
      <c r="B78" s="3" t="s">
        <v>7</v>
      </c>
      <c r="C78" s="3" t="s">
        <v>63</v>
      </c>
      <c r="D78" s="3" t="s">
        <v>64</v>
      </c>
      <c r="E78" s="3" t="s">
        <v>360</v>
      </c>
      <c r="F78" s="3" t="s">
        <v>361</v>
      </c>
      <c r="G78" s="3" t="s">
        <v>362</v>
      </c>
      <c r="H78" s="3" t="s">
        <v>65</v>
      </c>
    </row>
    <row r="79" spans="1:8" ht="58" x14ac:dyDescent="0.35">
      <c r="A79" s="5" t="s">
        <v>66</v>
      </c>
      <c r="B79" s="5" t="s">
        <v>7</v>
      </c>
      <c r="C79" s="5" t="s">
        <v>67</v>
      </c>
      <c r="D79" s="5" t="s">
        <v>68</v>
      </c>
      <c r="E79" s="5" t="s">
        <v>363</v>
      </c>
      <c r="F79" s="5" t="s">
        <v>364</v>
      </c>
      <c r="G79" s="5" t="s">
        <v>365</v>
      </c>
      <c r="H79" s="8"/>
    </row>
    <row r="80" spans="1:8" ht="116" x14ac:dyDescent="0.35">
      <c r="A80" s="5" t="s">
        <v>66</v>
      </c>
      <c r="B80" s="5" t="s">
        <v>7</v>
      </c>
      <c r="C80" s="5" t="s">
        <v>67</v>
      </c>
      <c r="D80" s="5" t="s">
        <v>68</v>
      </c>
      <c r="E80" s="5" t="s">
        <v>366</v>
      </c>
      <c r="F80" s="5" t="s">
        <v>367</v>
      </c>
      <c r="G80" s="5" t="s">
        <v>368</v>
      </c>
      <c r="H80" s="8"/>
    </row>
    <row r="81" spans="1:8" ht="87" x14ac:dyDescent="0.35">
      <c r="A81" s="5" t="s">
        <v>66</v>
      </c>
      <c r="B81" s="5" t="s">
        <v>7</v>
      </c>
      <c r="C81" s="5" t="s">
        <v>67</v>
      </c>
      <c r="D81" s="5" t="s">
        <v>68</v>
      </c>
      <c r="E81" s="5" t="s">
        <v>369</v>
      </c>
      <c r="F81" s="5" t="s">
        <v>370</v>
      </c>
      <c r="G81" s="5" t="s">
        <v>371</v>
      </c>
      <c r="H81" s="8"/>
    </row>
    <row r="82" spans="1:8" ht="101.5" x14ac:dyDescent="0.35">
      <c r="A82" s="5" t="s">
        <v>66</v>
      </c>
      <c r="B82" s="5" t="s">
        <v>7</v>
      </c>
      <c r="C82" s="5" t="s">
        <v>67</v>
      </c>
      <c r="D82" s="5" t="s">
        <v>68</v>
      </c>
      <c r="E82" s="5" t="s">
        <v>372</v>
      </c>
      <c r="F82" s="5" t="s">
        <v>373</v>
      </c>
      <c r="G82" s="5" t="s">
        <v>374</v>
      </c>
      <c r="H82" s="8"/>
    </row>
    <row r="83" spans="1:8" ht="58" x14ac:dyDescent="0.35">
      <c r="A83" s="5" t="s">
        <v>66</v>
      </c>
      <c r="B83" s="5" t="s">
        <v>7</v>
      </c>
      <c r="C83" s="5" t="s">
        <v>67</v>
      </c>
      <c r="D83" s="5" t="s">
        <v>68</v>
      </c>
      <c r="E83" s="5" t="s">
        <v>375</v>
      </c>
      <c r="F83" s="5" t="s">
        <v>376</v>
      </c>
      <c r="G83" s="5" t="s">
        <v>377</v>
      </c>
      <c r="H83" s="8"/>
    </row>
    <row r="84" spans="1:8" ht="87" x14ac:dyDescent="0.35">
      <c r="A84" s="3" t="s">
        <v>69</v>
      </c>
      <c r="B84" s="3" t="s">
        <v>12</v>
      </c>
      <c r="C84" s="3" t="s">
        <v>70</v>
      </c>
      <c r="D84" s="3" t="s">
        <v>71</v>
      </c>
      <c r="E84" s="3" t="s">
        <v>378</v>
      </c>
      <c r="F84" s="3" t="s">
        <v>379</v>
      </c>
      <c r="G84" s="3" t="s">
        <v>380</v>
      </c>
      <c r="H84" s="6"/>
    </row>
    <row r="85" spans="1:8" ht="72.5" x14ac:dyDescent="0.35">
      <c r="A85" s="3" t="s">
        <v>69</v>
      </c>
      <c r="B85" s="3" t="s">
        <v>12</v>
      </c>
      <c r="C85" s="3" t="s">
        <v>70</v>
      </c>
      <c r="D85" s="3" t="s">
        <v>71</v>
      </c>
      <c r="E85" s="3" t="s">
        <v>381</v>
      </c>
      <c r="F85" s="3" t="s">
        <v>382</v>
      </c>
      <c r="G85" s="3" t="s">
        <v>383</v>
      </c>
      <c r="H85" s="6"/>
    </row>
    <row r="86" spans="1:8" ht="58" x14ac:dyDescent="0.35">
      <c r="A86" s="3" t="s">
        <v>69</v>
      </c>
      <c r="B86" s="3" t="s">
        <v>12</v>
      </c>
      <c r="C86" s="3" t="s">
        <v>70</v>
      </c>
      <c r="D86" s="3" t="s">
        <v>71</v>
      </c>
      <c r="E86" s="3" t="s">
        <v>384</v>
      </c>
      <c r="F86" s="3" t="s">
        <v>385</v>
      </c>
      <c r="G86" s="3" t="s">
        <v>386</v>
      </c>
      <c r="H86" s="6"/>
    </row>
    <row r="87" spans="1:8" ht="101.5" x14ac:dyDescent="0.35">
      <c r="A87" s="3" t="s">
        <v>69</v>
      </c>
      <c r="B87" s="3" t="s">
        <v>12</v>
      </c>
      <c r="C87" s="3" t="s">
        <v>70</v>
      </c>
      <c r="D87" s="3" t="s">
        <v>71</v>
      </c>
      <c r="E87" s="3" t="s">
        <v>387</v>
      </c>
      <c r="F87" s="3" t="s">
        <v>388</v>
      </c>
      <c r="G87" s="3" t="s">
        <v>389</v>
      </c>
      <c r="H87" s="6"/>
    </row>
    <row r="88" spans="1:8" ht="43.5" x14ac:dyDescent="0.35">
      <c r="A88" s="5" t="s">
        <v>72</v>
      </c>
      <c r="B88" s="5" t="s">
        <v>12</v>
      </c>
      <c r="C88" s="5" t="s">
        <v>73</v>
      </c>
      <c r="D88" s="5" t="s">
        <v>74</v>
      </c>
      <c r="E88" s="5" t="s">
        <v>390</v>
      </c>
      <c r="F88" s="5" t="s">
        <v>391</v>
      </c>
      <c r="G88" s="5" t="s">
        <v>392</v>
      </c>
      <c r="H88" s="5"/>
    </row>
    <row r="89" spans="1:8" ht="43.5" x14ac:dyDescent="0.35">
      <c r="A89" s="5" t="s">
        <v>72</v>
      </c>
      <c r="B89" s="5" t="s">
        <v>12</v>
      </c>
      <c r="C89" s="5" t="s">
        <v>73</v>
      </c>
      <c r="D89" s="5" t="s">
        <v>74</v>
      </c>
      <c r="E89" s="5" t="s">
        <v>393</v>
      </c>
      <c r="F89" s="5" t="s">
        <v>394</v>
      </c>
      <c r="G89" s="5" t="s">
        <v>395</v>
      </c>
      <c r="H89" s="5"/>
    </row>
    <row r="90" spans="1:8" ht="58" x14ac:dyDescent="0.35">
      <c r="A90" s="5" t="s">
        <v>72</v>
      </c>
      <c r="B90" s="5" t="s">
        <v>12</v>
      </c>
      <c r="C90" s="5" t="s">
        <v>73</v>
      </c>
      <c r="D90" s="5" t="s">
        <v>74</v>
      </c>
      <c r="E90" s="5" t="s">
        <v>396</v>
      </c>
      <c r="F90" s="5" t="s">
        <v>397</v>
      </c>
      <c r="G90" s="5" t="s">
        <v>398</v>
      </c>
      <c r="H90" s="5" t="s">
        <v>75</v>
      </c>
    </row>
    <row r="91" spans="1:8" ht="72.5" x14ac:dyDescent="0.35">
      <c r="A91" s="5" t="s">
        <v>72</v>
      </c>
      <c r="B91" s="5" t="s">
        <v>12</v>
      </c>
      <c r="C91" s="5" t="s">
        <v>73</v>
      </c>
      <c r="D91" s="5" t="s">
        <v>74</v>
      </c>
      <c r="E91" s="5" t="s">
        <v>399</v>
      </c>
      <c r="F91" s="5" t="s">
        <v>400</v>
      </c>
      <c r="G91" s="5" t="s">
        <v>401</v>
      </c>
      <c r="H91" s="5"/>
    </row>
    <row r="92" spans="1:8" ht="72.5" x14ac:dyDescent="0.35">
      <c r="A92" s="5" t="s">
        <v>72</v>
      </c>
      <c r="B92" s="5" t="s">
        <v>12</v>
      </c>
      <c r="C92" s="5" t="s">
        <v>73</v>
      </c>
      <c r="D92" s="5" t="s">
        <v>74</v>
      </c>
      <c r="E92" s="5" t="s">
        <v>402</v>
      </c>
      <c r="F92" s="5" t="s">
        <v>403</v>
      </c>
      <c r="G92" s="5" t="s">
        <v>404</v>
      </c>
      <c r="H92" s="5"/>
    </row>
    <row r="93" spans="1:8" ht="43.5" x14ac:dyDescent="0.35">
      <c r="A93" s="5" t="s">
        <v>72</v>
      </c>
      <c r="B93" s="5" t="s">
        <v>12</v>
      </c>
      <c r="C93" s="5" t="s">
        <v>73</v>
      </c>
      <c r="D93" s="5" t="s">
        <v>74</v>
      </c>
      <c r="E93" s="5" t="s">
        <v>405</v>
      </c>
      <c r="F93" s="5" t="s">
        <v>406</v>
      </c>
      <c r="G93" s="5" t="s">
        <v>407</v>
      </c>
      <c r="H93" s="5"/>
    </row>
    <row r="94" spans="1:8" ht="58" x14ac:dyDescent="0.35">
      <c r="A94" s="5" t="s">
        <v>72</v>
      </c>
      <c r="B94" s="5" t="s">
        <v>12</v>
      </c>
      <c r="C94" s="5" t="s">
        <v>73</v>
      </c>
      <c r="D94" s="5" t="s">
        <v>74</v>
      </c>
      <c r="E94" s="5" t="s">
        <v>408</v>
      </c>
      <c r="F94" s="5" t="s">
        <v>409</v>
      </c>
      <c r="G94" s="5" t="s">
        <v>410</v>
      </c>
      <c r="H94" s="5"/>
    </row>
    <row r="95" spans="1:8" ht="43.5" x14ac:dyDescent="0.35">
      <c r="A95" s="5" t="s">
        <v>72</v>
      </c>
      <c r="B95" s="5" t="s">
        <v>12</v>
      </c>
      <c r="C95" s="5" t="s">
        <v>73</v>
      </c>
      <c r="D95" s="5" t="s">
        <v>74</v>
      </c>
      <c r="E95" s="5" t="s">
        <v>411</v>
      </c>
      <c r="F95" s="5" t="s">
        <v>412</v>
      </c>
      <c r="G95" s="5" t="s">
        <v>413</v>
      </c>
      <c r="H95" s="5"/>
    </row>
    <row r="96" spans="1:8" ht="43.5" x14ac:dyDescent="0.35">
      <c r="A96" s="3" t="s">
        <v>76</v>
      </c>
      <c r="B96" s="3" t="s">
        <v>12</v>
      </c>
      <c r="C96" s="3" t="s">
        <v>77</v>
      </c>
      <c r="D96" s="3" t="s">
        <v>78</v>
      </c>
      <c r="E96" s="3" t="s">
        <v>414</v>
      </c>
      <c r="F96" s="3" t="s">
        <v>415</v>
      </c>
      <c r="G96" s="3" t="s">
        <v>416</v>
      </c>
      <c r="H96" s="6"/>
    </row>
    <row r="97" spans="1:8" ht="72.5" x14ac:dyDescent="0.35">
      <c r="A97" s="3" t="s">
        <v>76</v>
      </c>
      <c r="B97" s="3" t="s">
        <v>12</v>
      </c>
      <c r="C97" s="3" t="s">
        <v>77</v>
      </c>
      <c r="D97" s="3" t="s">
        <v>78</v>
      </c>
      <c r="E97" s="3" t="s">
        <v>417</v>
      </c>
      <c r="F97" s="3" t="s">
        <v>418</v>
      </c>
      <c r="G97" s="3" t="s">
        <v>419</v>
      </c>
      <c r="H97" s="6"/>
    </row>
    <row r="98" spans="1:8" ht="43.5" x14ac:dyDescent="0.35">
      <c r="A98" s="3" t="s">
        <v>76</v>
      </c>
      <c r="B98" s="3" t="s">
        <v>12</v>
      </c>
      <c r="C98" s="3" t="s">
        <v>77</v>
      </c>
      <c r="D98" s="3" t="s">
        <v>78</v>
      </c>
      <c r="E98" s="3" t="s">
        <v>420</v>
      </c>
      <c r="F98" s="3" t="s">
        <v>421</v>
      </c>
      <c r="G98" s="3" t="s">
        <v>422</v>
      </c>
      <c r="H98" s="6"/>
    </row>
    <row r="99" spans="1:8" ht="43.5" x14ac:dyDescent="0.35">
      <c r="A99" s="3" t="s">
        <v>76</v>
      </c>
      <c r="B99" s="3" t="s">
        <v>12</v>
      </c>
      <c r="C99" s="3" t="s">
        <v>77</v>
      </c>
      <c r="D99" s="3" t="s">
        <v>78</v>
      </c>
      <c r="E99" s="3" t="s">
        <v>423</v>
      </c>
      <c r="F99" s="3" t="s">
        <v>424</v>
      </c>
      <c r="G99" s="3" t="s">
        <v>425</v>
      </c>
      <c r="H99" s="6"/>
    </row>
    <row r="100" spans="1:8" ht="43.5" x14ac:dyDescent="0.35">
      <c r="A100" s="3" t="s">
        <v>76</v>
      </c>
      <c r="B100" s="3" t="s">
        <v>12</v>
      </c>
      <c r="C100" s="3" t="s">
        <v>77</v>
      </c>
      <c r="D100" s="3" t="s">
        <v>78</v>
      </c>
      <c r="E100" s="3" t="s">
        <v>426</v>
      </c>
      <c r="F100" s="3" t="s">
        <v>427</v>
      </c>
      <c r="G100" s="3" t="s">
        <v>428</v>
      </c>
      <c r="H100" s="6"/>
    </row>
    <row r="101" spans="1:8" ht="43.5" x14ac:dyDescent="0.35">
      <c r="A101" s="3" t="s">
        <v>76</v>
      </c>
      <c r="B101" s="3" t="s">
        <v>12</v>
      </c>
      <c r="C101" s="3" t="s">
        <v>77</v>
      </c>
      <c r="D101" s="3" t="s">
        <v>78</v>
      </c>
      <c r="E101" s="3" t="s">
        <v>429</v>
      </c>
      <c r="F101" s="3" t="s">
        <v>430</v>
      </c>
      <c r="G101" s="3" t="s">
        <v>431</v>
      </c>
      <c r="H101" s="6"/>
    </row>
    <row r="102" spans="1:8" ht="58" x14ac:dyDescent="0.35">
      <c r="A102" s="3" t="s">
        <v>76</v>
      </c>
      <c r="B102" s="3" t="s">
        <v>12</v>
      </c>
      <c r="C102" s="3" t="s">
        <v>77</v>
      </c>
      <c r="D102" s="3" t="s">
        <v>78</v>
      </c>
      <c r="E102" s="3" t="s">
        <v>432</v>
      </c>
      <c r="F102" s="3" t="s">
        <v>433</v>
      </c>
      <c r="G102" s="3" t="s">
        <v>434</v>
      </c>
      <c r="H102" s="6"/>
    </row>
    <row r="103" spans="1:8" ht="58" x14ac:dyDescent="0.35">
      <c r="A103" s="5" t="s">
        <v>79</v>
      </c>
      <c r="B103" s="5" t="s">
        <v>7</v>
      </c>
      <c r="C103" s="5" t="s">
        <v>80</v>
      </c>
      <c r="D103" s="5" t="s">
        <v>81</v>
      </c>
      <c r="E103" s="5" t="s">
        <v>435</v>
      </c>
      <c r="F103" s="5" t="s">
        <v>436</v>
      </c>
      <c r="G103" s="5" t="s">
        <v>437</v>
      </c>
      <c r="H103" s="5"/>
    </row>
    <row r="104" spans="1:8" ht="43.5" x14ac:dyDescent="0.35">
      <c r="A104" s="5" t="s">
        <v>79</v>
      </c>
      <c r="B104" s="5" t="s">
        <v>7</v>
      </c>
      <c r="C104" s="5" t="s">
        <v>80</v>
      </c>
      <c r="D104" s="5" t="s">
        <v>81</v>
      </c>
      <c r="E104" s="5" t="s">
        <v>438</v>
      </c>
      <c r="F104" s="5" t="s">
        <v>439</v>
      </c>
      <c r="G104" s="5" t="s">
        <v>440</v>
      </c>
      <c r="H104" s="5"/>
    </row>
    <row r="105" spans="1:8" ht="43.5" x14ac:dyDescent="0.35">
      <c r="A105" s="5" t="s">
        <v>79</v>
      </c>
      <c r="B105" s="5" t="s">
        <v>7</v>
      </c>
      <c r="C105" s="5" t="s">
        <v>80</v>
      </c>
      <c r="D105" s="5" t="s">
        <v>81</v>
      </c>
      <c r="E105" s="5" t="s">
        <v>441</v>
      </c>
      <c r="F105" s="5" t="s">
        <v>444</v>
      </c>
      <c r="G105" s="5" t="s">
        <v>442</v>
      </c>
      <c r="H105" s="5"/>
    </row>
    <row r="106" spans="1:8" ht="58" x14ac:dyDescent="0.35">
      <c r="A106" s="5" t="s">
        <v>79</v>
      </c>
      <c r="B106" s="5" t="s">
        <v>7</v>
      </c>
      <c r="C106" s="5" t="s">
        <v>80</v>
      </c>
      <c r="D106" s="5" t="s">
        <v>81</v>
      </c>
      <c r="E106" s="5" t="s">
        <v>443</v>
      </c>
      <c r="F106" s="5" t="s">
        <v>444</v>
      </c>
      <c r="G106" s="5" t="s">
        <v>442</v>
      </c>
      <c r="H106" s="5"/>
    </row>
    <row r="107" spans="1:8" ht="58" x14ac:dyDescent="0.35">
      <c r="A107" s="3" t="s">
        <v>82</v>
      </c>
      <c r="B107" s="3" t="s">
        <v>44</v>
      </c>
      <c r="C107" s="3" t="s">
        <v>61</v>
      </c>
      <c r="D107" s="3" t="s">
        <v>83</v>
      </c>
      <c r="E107" s="3" t="s">
        <v>445</v>
      </c>
      <c r="F107" s="3" t="s">
        <v>446</v>
      </c>
      <c r="G107" s="3" t="s">
        <v>447</v>
      </c>
      <c r="H107" s="3"/>
    </row>
    <row r="108" spans="1:8" ht="43.5" x14ac:dyDescent="0.35">
      <c r="A108" s="3" t="s">
        <v>82</v>
      </c>
      <c r="B108" s="3" t="s">
        <v>44</v>
      </c>
      <c r="C108" s="3" t="s">
        <v>61</v>
      </c>
      <c r="D108" s="3" t="s">
        <v>83</v>
      </c>
      <c r="E108" s="3" t="s">
        <v>448</v>
      </c>
      <c r="F108" s="3" t="s">
        <v>449</v>
      </c>
      <c r="G108" s="3" t="s">
        <v>450</v>
      </c>
      <c r="H108" s="3"/>
    </row>
    <row r="109" spans="1:8" ht="43.5" x14ac:dyDescent="0.35">
      <c r="A109" s="3" t="s">
        <v>82</v>
      </c>
      <c r="B109" s="3" t="s">
        <v>44</v>
      </c>
      <c r="C109" s="3" t="s">
        <v>61</v>
      </c>
      <c r="D109" s="3" t="s">
        <v>83</v>
      </c>
      <c r="E109" s="3" t="s">
        <v>451</v>
      </c>
      <c r="F109" s="3" t="s">
        <v>452</v>
      </c>
      <c r="G109" s="3" t="s">
        <v>453</v>
      </c>
      <c r="H109" s="3"/>
    </row>
    <row r="110" spans="1:8" ht="43.5" x14ac:dyDescent="0.35">
      <c r="A110" s="3" t="s">
        <v>82</v>
      </c>
      <c r="B110" s="3" t="s">
        <v>44</v>
      </c>
      <c r="C110" s="3" t="s">
        <v>61</v>
      </c>
      <c r="D110" s="3" t="s">
        <v>83</v>
      </c>
      <c r="E110" s="3" t="s">
        <v>454</v>
      </c>
      <c r="F110" s="3" t="s">
        <v>455</v>
      </c>
      <c r="G110" s="3" t="s">
        <v>456</v>
      </c>
      <c r="H110" s="3"/>
    </row>
    <row r="111" spans="1:8" ht="58" x14ac:dyDescent="0.35">
      <c r="A111" s="5" t="s">
        <v>84</v>
      </c>
      <c r="B111" s="5" t="s">
        <v>85</v>
      </c>
      <c r="C111" s="5" t="s">
        <v>86</v>
      </c>
      <c r="D111" s="5" t="s">
        <v>87</v>
      </c>
      <c r="E111" s="5" t="s">
        <v>457</v>
      </c>
      <c r="F111" s="5" t="s">
        <v>458</v>
      </c>
      <c r="G111" s="5" t="s">
        <v>459</v>
      </c>
      <c r="H111" s="5" t="s">
        <v>10</v>
      </c>
    </row>
    <row r="112" spans="1:8" ht="58" x14ac:dyDescent="0.35">
      <c r="A112" s="5" t="s">
        <v>84</v>
      </c>
      <c r="B112" s="5" t="s">
        <v>85</v>
      </c>
      <c r="C112" s="5" t="s">
        <v>86</v>
      </c>
      <c r="D112" s="5" t="s">
        <v>87</v>
      </c>
      <c r="E112" s="5" t="s">
        <v>460</v>
      </c>
      <c r="F112" s="5" t="s">
        <v>462</v>
      </c>
      <c r="G112" s="5" t="s">
        <v>461</v>
      </c>
      <c r="H112" s="5" t="s">
        <v>10</v>
      </c>
    </row>
    <row r="113" spans="1:8" ht="43.5" x14ac:dyDescent="0.35">
      <c r="A113" s="3" t="s">
        <v>88</v>
      </c>
      <c r="B113" s="3" t="s">
        <v>7</v>
      </c>
      <c r="C113" s="3" t="s">
        <v>89</v>
      </c>
      <c r="D113" s="3" t="s">
        <v>90</v>
      </c>
      <c r="E113" s="3" t="s">
        <v>463</v>
      </c>
      <c r="F113" s="3" t="s">
        <v>464</v>
      </c>
      <c r="G113" s="3" t="s">
        <v>274</v>
      </c>
      <c r="H113" s="6"/>
    </row>
    <row r="114" spans="1:8" ht="43.5" x14ac:dyDescent="0.35">
      <c r="A114" s="3" t="s">
        <v>88</v>
      </c>
      <c r="B114" s="3" t="s">
        <v>7</v>
      </c>
      <c r="C114" s="3" t="s">
        <v>89</v>
      </c>
      <c r="D114" s="3" t="s">
        <v>90</v>
      </c>
      <c r="E114" s="3" t="s">
        <v>465</v>
      </c>
      <c r="F114" s="3" t="s">
        <v>466</v>
      </c>
      <c r="G114" s="3" t="s">
        <v>467</v>
      </c>
      <c r="H114" s="6"/>
    </row>
    <row r="115" spans="1:8" ht="43.5" x14ac:dyDescent="0.35">
      <c r="A115" s="3" t="s">
        <v>88</v>
      </c>
      <c r="B115" s="3" t="s">
        <v>7</v>
      </c>
      <c r="C115" s="3" t="s">
        <v>89</v>
      </c>
      <c r="D115" s="3" t="s">
        <v>90</v>
      </c>
      <c r="E115" s="3" t="s">
        <v>468</v>
      </c>
      <c r="F115" s="3" t="s">
        <v>469</v>
      </c>
      <c r="G115" s="3" t="s">
        <v>470</v>
      </c>
      <c r="H115" s="6"/>
    </row>
    <row r="116" spans="1:8" ht="43.5" x14ac:dyDescent="0.35">
      <c r="A116" s="3" t="s">
        <v>88</v>
      </c>
      <c r="B116" s="3" t="s">
        <v>7</v>
      </c>
      <c r="C116" s="3" t="s">
        <v>89</v>
      </c>
      <c r="D116" s="3" t="s">
        <v>90</v>
      </c>
      <c r="E116" s="3" t="s">
        <v>471</v>
      </c>
      <c r="F116" s="3" t="s">
        <v>472</v>
      </c>
      <c r="G116" s="3" t="s">
        <v>473</v>
      </c>
      <c r="H116" s="6"/>
    </row>
    <row r="117" spans="1:8" ht="43.5" x14ac:dyDescent="0.35">
      <c r="A117" s="3" t="s">
        <v>88</v>
      </c>
      <c r="B117" s="3" t="s">
        <v>7</v>
      </c>
      <c r="C117" s="3" t="s">
        <v>89</v>
      </c>
      <c r="D117" s="3" t="s">
        <v>90</v>
      </c>
      <c r="E117" s="3" t="s">
        <v>474</v>
      </c>
      <c r="F117" s="3" t="s">
        <v>475</v>
      </c>
      <c r="G117" s="3" t="s">
        <v>476</v>
      </c>
      <c r="H117" s="6"/>
    </row>
    <row r="118" spans="1:8" ht="43.5" x14ac:dyDescent="0.35">
      <c r="A118" s="3" t="s">
        <v>88</v>
      </c>
      <c r="B118" s="3" t="s">
        <v>7</v>
      </c>
      <c r="C118" s="3" t="s">
        <v>89</v>
      </c>
      <c r="D118" s="3" t="s">
        <v>90</v>
      </c>
      <c r="E118" s="3" t="s">
        <v>477</v>
      </c>
      <c r="F118" s="3" t="s">
        <v>478</v>
      </c>
      <c r="G118" s="3" t="s">
        <v>479</v>
      </c>
      <c r="H118" s="6"/>
    </row>
    <row r="119" spans="1:8" ht="101.5" x14ac:dyDescent="0.35">
      <c r="A119" s="3" t="s">
        <v>88</v>
      </c>
      <c r="B119" s="3" t="s">
        <v>7</v>
      </c>
      <c r="C119" s="3" t="s">
        <v>89</v>
      </c>
      <c r="D119" s="3" t="s">
        <v>90</v>
      </c>
      <c r="E119" s="3" t="s">
        <v>480</v>
      </c>
      <c r="F119" s="3" t="s">
        <v>481</v>
      </c>
      <c r="G119" s="3" t="s">
        <v>482</v>
      </c>
      <c r="H119" s="6"/>
    </row>
    <row r="120" spans="1:8" ht="43.5" x14ac:dyDescent="0.35">
      <c r="A120" s="3" t="s">
        <v>88</v>
      </c>
      <c r="B120" s="3" t="s">
        <v>7</v>
      </c>
      <c r="C120" s="3" t="s">
        <v>89</v>
      </c>
      <c r="D120" s="3" t="s">
        <v>90</v>
      </c>
      <c r="E120" s="3" t="s">
        <v>483</v>
      </c>
      <c r="F120" s="3" t="s">
        <v>484</v>
      </c>
      <c r="G120" s="3" t="s">
        <v>485</v>
      </c>
      <c r="H120" s="6"/>
    </row>
    <row r="121" spans="1:8" ht="43.5" x14ac:dyDescent="0.35">
      <c r="A121" s="3" t="s">
        <v>88</v>
      </c>
      <c r="B121" s="3" t="s">
        <v>7</v>
      </c>
      <c r="C121" s="3" t="s">
        <v>89</v>
      </c>
      <c r="D121" s="3" t="s">
        <v>90</v>
      </c>
      <c r="E121" s="3" t="s">
        <v>486</v>
      </c>
      <c r="F121" s="3" t="s">
        <v>487</v>
      </c>
      <c r="G121" s="3" t="s">
        <v>488</v>
      </c>
      <c r="H121" s="6"/>
    </row>
    <row r="122" spans="1:8" ht="87" x14ac:dyDescent="0.35">
      <c r="A122" s="5" t="s">
        <v>91</v>
      </c>
      <c r="B122" s="5" t="s">
        <v>7</v>
      </c>
      <c r="C122" s="5" t="s">
        <v>92</v>
      </c>
      <c r="D122" s="5" t="s">
        <v>93</v>
      </c>
      <c r="E122" s="5" t="s">
        <v>489</v>
      </c>
      <c r="F122" s="5" t="s">
        <v>490</v>
      </c>
      <c r="G122" s="5" t="s">
        <v>491</v>
      </c>
      <c r="H122" s="6"/>
    </row>
    <row r="123" spans="1:8" ht="58" x14ac:dyDescent="0.35">
      <c r="A123" s="5" t="s">
        <v>91</v>
      </c>
      <c r="B123" s="5" t="s">
        <v>7</v>
      </c>
      <c r="C123" s="5" t="s">
        <v>92</v>
      </c>
      <c r="D123" s="5" t="s">
        <v>93</v>
      </c>
      <c r="E123" s="5" t="s">
        <v>492</v>
      </c>
      <c r="F123" s="5" t="s">
        <v>493</v>
      </c>
      <c r="G123" s="5" t="s">
        <v>494</v>
      </c>
      <c r="H123" s="6"/>
    </row>
    <row r="124" spans="1:8" ht="43.5" x14ac:dyDescent="0.35">
      <c r="A124" s="5" t="s">
        <v>91</v>
      </c>
      <c r="B124" s="5" t="s">
        <v>7</v>
      </c>
      <c r="C124" s="5" t="s">
        <v>92</v>
      </c>
      <c r="D124" s="5" t="s">
        <v>93</v>
      </c>
      <c r="E124" s="5" t="s">
        <v>495</v>
      </c>
      <c r="F124" s="5" t="s">
        <v>496</v>
      </c>
      <c r="G124" s="5" t="s">
        <v>497</v>
      </c>
      <c r="H124" s="6"/>
    </row>
    <row r="125" spans="1:8" ht="43.5" x14ac:dyDescent="0.35">
      <c r="A125" s="5" t="s">
        <v>91</v>
      </c>
      <c r="B125" s="5" t="s">
        <v>7</v>
      </c>
      <c r="C125" s="5" t="s">
        <v>92</v>
      </c>
      <c r="D125" s="5" t="s">
        <v>93</v>
      </c>
      <c r="E125" s="5" t="s">
        <v>498</v>
      </c>
      <c r="F125" s="5" t="s">
        <v>499</v>
      </c>
      <c r="G125" s="5" t="s">
        <v>500</v>
      </c>
      <c r="H125" s="6"/>
    </row>
    <row r="126" spans="1:8" ht="43.5" x14ac:dyDescent="0.35">
      <c r="A126" s="5" t="s">
        <v>91</v>
      </c>
      <c r="B126" s="5" t="s">
        <v>7</v>
      </c>
      <c r="C126" s="5" t="s">
        <v>92</v>
      </c>
      <c r="D126" s="5" t="s">
        <v>93</v>
      </c>
      <c r="E126" s="5" t="s">
        <v>501</v>
      </c>
      <c r="F126" s="5" t="s">
        <v>502</v>
      </c>
      <c r="G126" s="5" t="s">
        <v>503</v>
      </c>
      <c r="H126" s="6"/>
    </row>
    <row r="127" spans="1:8" ht="58" x14ac:dyDescent="0.35">
      <c r="A127" s="5" t="s">
        <v>91</v>
      </c>
      <c r="B127" s="5" t="s">
        <v>7</v>
      </c>
      <c r="C127" s="5" t="s">
        <v>92</v>
      </c>
      <c r="D127" s="5" t="s">
        <v>93</v>
      </c>
      <c r="E127" s="5" t="s">
        <v>504</v>
      </c>
      <c r="F127" s="5" t="s">
        <v>505</v>
      </c>
      <c r="G127" s="5" t="s">
        <v>506</v>
      </c>
      <c r="H127" s="6"/>
    </row>
    <row r="128" spans="1:8" ht="43.5" x14ac:dyDescent="0.35">
      <c r="A128" s="5" t="s">
        <v>91</v>
      </c>
      <c r="B128" s="5" t="s">
        <v>7</v>
      </c>
      <c r="C128" s="5" t="s">
        <v>92</v>
      </c>
      <c r="D128" s="5" t="s">
        <v>93</v>
      </c>
      <c r="E128" s="5" t="s">
        <v>507</v>
      </c>
      <c r="F128" s="5" t="s">
        <v>508</v>
      </c>
      <c r="G128" s="5" t="s">
        <v>509</v>
      </c>
      <c r="H128" s="6"/>
    </row>
    <row r="129" spans="1:8" ht="72.5" x14ac:dyDescent="0.35">
      <c r="A129" s="3" t="s">
        <v>94</v>
      </c>
      <c r="B129" s="3" t="s">
        <v>85</v>
      </c>
      <c r="C129" s="3" t="s">
        <v>95</v>
      </c>
      <c r="D129" s="3" t="s">
        <v>96</v>
      </c>
      <c r="E129" s="3" t="s">
        <v>510</v>
      </c>
      <c r="F129" s="3" t="s">
        <v>511</v>
      </c>
      <c r="G129" s="3" t="s">
        <v>512</v>
      </c>
      <c r="H129" s="3"/>
    </row>
    <row r="130" spans="1:8" ht="43.5" x14ac:dyDescent="0.35">
      <c r="A130" s="3" t="s">
        <v>94</v>
      </c>
      <c r="B130" s="3" t="s">
        <v>85</v>
      </c>
      <c r="C130" s="3" t="s">
        <v>95</v>
      </c>
      <c r="D130" s="3" t="s">
        <v>96</v>
      </c>
      <c r="E130" s="3" t="s">
        <v>513</v>
      </c>
      <c r="F130" s="3" t="s">
        <v>514</v>
      </c>
      <c r="G130" s="3" t="s">
        <v>515</v>
      </c>
      <c r="H130" s="3"/>
    </row>
    <row r="131" spans="1:8" ht="58" x14ac:dyDescent="0.35">
      <c r="A131" s="3" t="s">
        <v>94</v>
      </c>
      <c r="B131" s="3" t="s">
        <v>85</v>
      </c>
      <c r="C131" s="3" t="s">
        <v>95</v>
      </c>
      <c r="D131" s="3" t="s">
        <v>96</v>
      </c>
      <c r="E131" s="3" t="s">
        <v>516</v>
      </c>
      <c r="F131" s="3" t="s">
        <v>517</v>
      </c>
      <c r="G131" s="3" t="s">
        <v>518</v>
      </c>
      <c r="H131" s="3"/>
    </row>
    <row r="132" spans="1:8" ht="87" x14ac:dyDescent="0.35">
      <c r="A132" s="3" t="s">
        <v>94</v>
      </c>
      <c r="B132" s="3" t="s">
        <v>85</v>
      </c>
      <c r="C132" s="3" t="s">
        <v>95</v>
      </c>
      <c r="D132" s="3" t="s">
        <v>96</v>
      </c>
      <c r="E132" s="3" t="s">
        <v>519</v>
      </c>
      <c r="F132" s="3" t="s">
        <v>520</v>
      </c>
      <c r="G132" s="3" t="s">
        <v>521</v>
      </c>
      <c r="H132" s="3" t="s">
        <v>537</v>
      </c>
    </row>
    <row r="133" spans="1:8" ht="101.5" x14ac:dyDescent="0.35">
      <c r="A133" s="3" t="s">
        <v>94</v>
      </c>
      <c r="B133" s="3" t="s">
        <v>85</v>
      </c>
      <c r="C133" s="3" t="s">
        <v>95</v>
      </c>
      <c r="D133" s="3" t="s">
        <v>96</v>
      </c>
      <c r="E133" s="3" t="s">
        <v>522</v>
      </c>
      <c r="F133" s="3" t="s">
        <v>523</v>
      </c>
      <c r="G133" s="3" t="s">
        <v>524</v>
      </c>
      <c r="H133" s="3" t="s">
        <v>538</v>
      </c>
    </row>
    <row r="134" spans="1:8" ht="29" x14ac:dyDescent="0.35">
      <c r="A134" s="3" t="s">
        <v>94</v>
      </c>
      <c r="B134" s="3" t="s">
        <v>85</v>
      </c>
      <c r="C134" s="3" t="s">
        <v>95</v>
      </c>
      <c r="D134" s="3" t="s">
        <v>96</v>
      </c>
      <c r="E134" s="3" t="s">
        <v>525</v>
      </c>
      <c r="F134" s="3" t="s">
        <v>526</v>
      </c>
      <c r="G134" s="3" t="s">
        <v>527</v>
      </c>
      <c r="H134" s="3"/>
    </row>
    <row r="135" spans="1:8" ht="29" x14ac:dyDescent="0.35">
      <c r="A135" s="3" t="s">
        <v>94</v>
      </c>
      <c r="B135" s="3" t="s">
        <v>85</v>
      </c>
      <c r="C135" s="3" t="s">
        <v>95</v>
      </c>
      <c r="D135" s="3" t="s">
        <v>96</v>
      </c>
      <c r="E135" s="3" t="s">
        <v>528</v>
      </c>
      <c r="F135" s="3" t="s">
        <v>529</v>
      </c>
      <c r="G135" s="3" t="s">
        <v>530</v>
      </c>
      <c r="H135" s="3"/>
    </row>
    <row r="136" spans="1:8" ht="29" x14ac:dyDescent="0.35">
      <c r="A136" s="3" t="s">
        <v>94</v>
      </c>
      <c r="B136" s="3" t="s">
        <v>85</v>
      </c>
      <c r="C136" s="3" t="s">
        <v>95</v>
      </c>
      <c r="D136" s="3" t="s">
        <v>96</v>
      </c>
      <c r="E136" s="3" t="s">
        <v>531</v>
      </c>
      <c r="F136" s="3" t="s">
        <v>532</v>
      </c>
      <c r="G136" s="3" t="s">
        <v>533</v>
      </c>
      <c r="H136" s="3"/>
    </row>
    <row r="137" spans="1:8" ht="43.5" x14ac:dyDescent="0.35">
      <c r="A137" s="3" t="s">
        <v>94</v>
      </c>
      <c r="B137" s="3" t="s">
        <v>85</v>
      </c>
      <c r="C137" s="3" t="s">
        <v>95</v>
      </c>
      <c r="D137" s="3" t="s">
        <v>96</v>
      </c>
      <c r="E137" s="3" t="s">
        <v>534</v>
      </c>
      <c r="F137" s="3" t="s">
        <v>535</v>
      </c>
      <c r="G137" s="3" t="s">
        <v>536</v>
      </c>
      <c r="H137" s="3"/>
    </row>
    <row r="138" spans="1:8" ht="58" x14ac:dyDescent="0.35">
      <c r="A138" s="5" t="s">
        <v>97</v>
      </c>
      <c r="B138" s="5" t="s">
        <v>85</v>
      </c>
      <c r="C138" s="5" t="s">
        <v>98</v>
      </c>
      <c r="D138" s="5" t="s">
        <v>99</v>
      </c>
      <c r="E138" s="5" t="s">
        <v>539</v>
      </c>
      <c r="F138" s="5" t="s">
        <v>540</v>
      </c>
      <c r="G138" s="5" t="s">
        <v>289</v>
      </c>
      <c r="H138" s="5"/>
    </row>
    <row r="139" spans="1:8" ht="58" x14ac:dyDescent="0.35">
      <c r="A139" s="5" t="s">
        <v>97</v>
      </c>
      <c r="B139" s="5" t="s">
        <v>85</v>
      </c>
      <c r="C139" s="5" t="s">
        <v>98</v>
      </c>
      <c r="D139" s="5" t="s">
        <v>99</v>
      </c>
      <c r="E139" s="5" t="s">
        <v>541</v>
      </c>
      <c r="F139" s="5" t="s">
        <v>542</v>
      </c>
      <c r="G139" s="5" t="s">
        <v>543</v>
      </c>
      <c r="H139" s="5"/>
    </row>
    <row r="140" spans="1:8" ht="58" x14ac:dyDescent="0.35">
      <c r="A140" s="5" t="s">
        <v>97</v>
      </c>
      <c r="B140" s="5" t="s">
        <v>85</v>
      </c>
      <c r="C140" s="5" t="s">
        <v>98</v>
      </c>
      <c r="D140" s="5" t="s">
        <v>99</v>
      </c>
      <c r="E140" s="5" t="s">
        <v>544</v>
      </c>
      <c r="F140" s="5" t="s">
        <v>545</v>
      </c>
      <c r="G140" s="5" t="s">
        <v>546</v>
      </c>
      <c r="H140" s="5"/>
    </row>
    <row r="141" spans="1:8" ht="87" x14ac:dyDescent="0.35">
      <c r="A141" s="5" t="s">
        <v>97</v>
      </c>
      <c r="B141" s="5" t="s">
        <v>85</v>
      </c>
      <c r="C141" s="5" t="s">
        <v>98</v>
      </c>
      <c r="D141" s="5" t="s">
        <v>99</v>
      </c>
      <c r="E141" s="5" t="s">
        <v>547</v>
      </c>
      <c r="F141" s="5" t="s">
        <v>548</v>
      </c>
      <c r="G141" s="5" t="s">
        <v>549</v>
      </c>
      <c r="H141" s="5"/>
    </row>
    <row r="142" spans="1:8" ht="101.5" x14ac:dyDescent="0.35">
      <c r="A142" s="5" t="s">
        <v>97</v>
      </c>
      <c r="B142" s="5" t="s">
        <v>85</v>
      </c>
      <c r="C142" s="5" t="s">
        <v>98</v>
      </c>
      <c r="D142" s="5" t="s">
        <v>99</v>
      </c>
      <c r="E142" s="5" t="s">
        <v>550</v>
      </c>
      <c r="F142" s="5" t="s">
        <v>551</v>
      </c>
      <c r="G142" s="5" t="s">
        <v>552</v>
      </c>
      <c r="H142" s="5"/>
    </row>
    <row r="143" spans="1:8" ht="58" x14ac:dyDescent="0.35">
      <c r="A143" s="5" t="s">
        <v>97</v>
      </c>
      <c r="B143" s="5" t="s">
        <v>85</v>
      </c>
      <c r="C143" s="5" t="s">
        <v>98</v>
      </c>
      <c r="D143" s="5" t="s">
        <v>99</v>
      </c>
      <c r="E143" s="5" t="s">
        <v>553</v>
      </c>
      <c r="F143" s="5" t="s">
        <v>554</v>
      </c>
      <c r="G143" s="5" t="s">
        <v>555</v>
      </c>
      <c r="H143" s="5"/>
    </row>
    <row r="144" spans="1:8" ht="58" x14ac:dyDescent="0.35">
      <c r="A144" s="5" t="s">
        <v>97</v>
      </c>
      <c r="B144" s="5" t="s">
        <v>85</v>
      </c>
      <c r="C144" s="5" t="s">
        <v>98</v>
      </c>
      <c r="D144" s="5" t="s">
        <v>99</v>
      </c>
      <c r="E144" s="5" t="s">
        <v>556</v>
      </c>
      <c r="F144" s="5" t="s">
        <v>557</v>
      </c>
      <c r="G144" s="5" t="s">
        <v>558</v>
      </c>
      <c r="H144" s="5"/>
    </row>
    <row r="145" spans="1:8" ht="58" x14ac:dyDescent="0.35">
      <c r="A145" s="5" t="s">
        <v>97</v>
      </c>
      <c r="B145" s="5" t="s">
        <v>85</v>
      </c>
      <c r="C145" s="5" t="s">
        <v>98</v>
      </c>
      <c r="D145" s="5" t="s">
        <v>99</v>
      </c>
      <c r="E145" s="5" t="s">
        <v>559</v>
      </c>
      <c r="F145" s="5" t="s">
        <v>560</v>
      </c>
      <c r="G145" s="5" t="s">
        <v>561</v>
      </c>
      <c r="H145" s="5"/>
    </row>
    <row r="146" spans="1:8" ht="58" x14ac:dyDescent="0.35">
      <c r="A146" s="5" t="s">
        <v>97</v>
      </c>
      <c r="B146" s="5" t="s">
        <v>85</v>
      </c>
      <c r="C146" s="5" t="s">
        <v>98</v>
      </c>
      <c r="D146" s="5" t="s">
        <v>99</v>
      </c>
      <c r="E146" s="5" t="s">
        <v>562</v>
      </c>
      <c r="F146" s="5" t="s">
        <v>563</v>
      </c>
      <c r="G146" s="5" t="s">
        <v>564</v>
      </c>
      <c r="H146" s="5"/>
    </row>
    <row r="147" spans="1:8" ht="58" x14ac:dyDescent="0.35">
      <c r="A147" s="5" t="s">
        <v>97</v>
      </c>
      <c r="B147" s="5" t="s">
        <v>85</v>
      </c>
      <c r="C147" s="5" t="s">
        <v>98</v>
      </c>
      <c r="D147" s="5" t="s">
        <v>99</v>
      </c>
      <c r="E147" s="5" t="s">
        <v>565</v>
      </c>
      <c r="F147" s="5" t="s">
        <v>566</v>
      </c>
      <c r="G147" s="5" t="s">
        <v>567</v>
      </c>
      <c r="H147" s="5"/>
    </row>
    <row r="148" spans="1:8" ht="43.5" x14ac:dyDescent="0.35">
      <c r="A148" s="3" t="s">
        <v>100</v>
      </c>
      <c r="B148" s="3" t="s">
        <v>12</v>
      </c>
      <c r="C148" s="3" t="s">
        <v>20</v>
      </c>
      <c r="D148" s="3" t="s">
        <v>101</v>
      </c>
      <c r="E148" s="3" t="s">
        <v>568</v>
      </c>
      <c r="F148" s="3" t="s">
        <v>569</v>
      </c>
      <c r="G148" s="3" t="s">
        <v>602</v>
      </c>
      <c r="H148" s="6"/>
    </row>
    <row r="149" spans="1:8" ht="43.5" x14ac:dyDescent="0.35">
      <c r="A149" s="3" t="s">
        <v>100</v>
      </c>
      <c r="B149" s="3" t="s">
        <v>12</v>
      </c>
      <c r="C149" s="3" t="s">
        <v>20</v>
      </c>
      <c r="D149" s="3" t="s">
        <v>101</v>
      </c>
      <c r="E149" s="3" t="s">
        <v>570</v>
      </c>
      <c r="F149" s="3" t="s">
        <v>571</v>
      </c>
      <c r="G149" s="3" t="s">
        <v>603</v>
      </c>
      <c r="H149" s="6"/>
    </row>
    <row r="150" spans="1:8" ht="43.5" x14ac:dyDescent="0.35">
      <c r="A150" s="3" t="s">
        <v>100</v>
      </c>
      <c r="B150" s="3" t="s">
        <v>12</v>
      </c>
      <c r="C150" s="3" t="s">
        <v>20</v>
      </c>
      <c r="D150" s="3" t="s">
        <v>101</v>
      </c>
      <c r="E150" s="3" t="s">
        <v>572</v>
      </c>
      <c r="F150" s="3" t="s">
        <v>573</v>
      </c>
      <c r="G150" s="3" t="s">
        <v>604</v>
      </c>
      <c r="H150" s="6"/>
    </row>
    <row r="151" spans="1:8" ht="58" x14ac:dyDescent="0.35">
      <c r="A151" s="3" t="s">
        <v>100</v>
      </c>
      <c r="B151" s="3" t="s">
        <v>12</v>
      </c>
      <c r="C151" s="3" t="s">
        <v>20</v>
      </c>
      <c r="D151" s="3" t="s">
        <v>101</v>
      </c>
      <c r="E151" s="3" t="s">
        <v>574</v>
      </c>
      <c r="F151" s="3" t="s">
        <v>575</v>
      </c>
      <c r="G151" s="3" t="s">
        <v>605</v>
      </c>
      <c r="H151" s="6"/>
    </row>
    <row r="152" spans="1:8" ht="43.5" x14ac:dyDescent="0.35">
      <c r="A152" s="3" t="s">
        <v>100</v>
      </c>
      <c r="B152" s="3" t="s">
        <v>12</v>
      </c>
      <c r="C152" s="3" t="s">
        <v>20</v>
      </c>
      <c r="D152" s="3" t="s">
        <v>101</v>
      </c>
      <c r="E152" s="3" t="s">
        <v>576</v>
      </c>
      <c r="F152" s="3" t="s">
        <v>577</v>
      </c>
      <c r="G152" s="3" t="s">
        <v>606</v>
      </c>
      <c r="H152" s="6"/>
    </row>
    <row r="153" spans="1:8" ht="43.5" x14ac:dyDescent="0.35">
      <c r="A153" s="3" t="s">
        <v>100</v>
      </c>
      <c r="B153" s="3" t="s">
        <v>12</v>
      </c>
      <c r="C153" s="3" t="s">
        <v>20</v>
      </c>
      <c r="D153" s="3" t="s">
        <v>101</v>
      </c>
      <c r="E153" s="3" t="s">
        <v>578</v>
      </c>
      <c r="F153" s="3" t="s">
        <v>579</v>
      </c>
      <c r="G153" s="3" t="s">
        <v>607</v>
      </c>
      <c r="H153" s="6"/>
    </row>
    <row r="154" spans="1:8" ht="58" x14ac:dyDescent="0.35">
      <c r="A154" s="3" t="s">
        <v>100</v>
      </c>
      <c r="B154" s="3" t="s">
        <v>12</v>
      </c>
      <c r="C154" s="3" t="s">
        <v>20</v>
      </c>
      <c r="D154" s="3" t="s">
        <v>101</v>
      </c>
      <c r="E154" s="3" t="s">
        <v>580</v>
      </c>
      <c r="F154" s="3" t="s">
        <v>581</v>
      </c>
      <c r="G154" s="3" t="s">
        <v>608</v>
      </c>
      <c r="H154" s="6"/>
    </row>
    <row r="155" spans="1:8" ht="87" x14ac:dyDescent="0.35">
      <c r="A155" s="3" t="s">
        <v>100</v>
      </c>
      <c r="B155" s="3" t="s">
        <v>12</v>
      </c>
      <c r="C155" s="3" t="s">
        <v>20</v>
      </c>
      <c r="D155" s="3" t="s">
        <v>101</v>
      </c>
      <c r="E155" s="3" t="s">
        <v>582</v>
      </c>
      <c r="F155" s="3" t="s">
        <v>583</v>
      </c>
      <c r="G155" s="3" t="s">
        <v>609</v>
      </c>
      <c r="H155" s="6"/>
    </row>
    <row r="156" spans="1:8" ht="43.5" x14ac:dyDescent="0.35">
      <c r="A156" s="3" t="s">
        <v>100</v>
      </c>
      <c r="B156" s="3" t="s">
        <v>12</v>
      </c>
      <c r="C156" s="3" t="s">
        <v>20</v>
      </c>
      <c r="D156" s="3" t="s">
        <v>101</v>
      </c>
      <c r="E156" s="3" t="s">
        <v>584</v>
      </c>
      <c r="F156" s="3" t="s">
        <v>585</v>
      </c>
      <c r="G156" s="3" t="s">
        <v>610</v>
      </c>
      <c r="H156" s="6"/>
    </row>
    <row r="157" spans="1:8" ht="72.5" x14ac:dyDescent="0.35">
      <c r="A157" s="3" t="s">
        <v>100</v>
      </c>
      <c r="B157" s="3" t="s">
        <v>12</v>
      </c>
      <c r="C157" s="3" t="s">
        <v>20</v>
      </c>
      <c r="D157" s="3" t="s">
        <v>101</v>
      </c>
      <c r="E157" s="3" t="s">
        <v>586</v>
      </c>
      <c r="F157" s="3" t="s">
        <v>587</v>
      </c>
      <c r="G157" s="3" t="s">
        <v>611</v>
      </c>
      <c r="H157" s="6"/>
    </row>
    <row r="158" spans="1:8" ht="43.5" x14ac:dyDescent="0.35">
      <c r="A158" s="3" t="s">
        <v>100</v>
      </c>
      <c r="B158" s="3" t="s">
        <v>12</v>
      </c>
      <c r="C158" s="3" t="s">
        <v>20</v>
      </c>
      <c r="D158" s="3" t="s">
        <v>101</v>
      </c>
      <c r="E158" s="3" t="s">
        <v>588</v>
      </c>
      <c r="F158" s="3" t="s">
        <v>589</v>
      </c>
      <c r="G158" s="3" t="s">
        <v>612</v>
      </c>
      <c r="H158" s="6"/>
    </row>
    <row r="159" spans="1:8" ht="43.5" x14ac:dyDescent="0.35">
      <c r="A159" s="3" t="s">
        <v>100</v>
      </c>
      <c r="B159" s="3" t="s">
        <v>12</v>
      </c>
      <c r="C159" s="3" t="s">
        <v>20</v>
      </c>
      <c r="D159" s="3" t="s">
        <v>101</v>
      </c>
      <c r="E159" s="3" t="s">
        <v>590</v>
      </c>
      <c r="F159" s="3" t="s">
        <v>591</v>
      </c>
      <c r="G159" s="3" t="s">
        <v>613</v>
      </c>
      <c r="H159" s="6"/>
    </row>
    <row r="160" spans="1:8" ht="43.5" x14ac:dyDescent="0.35">
      <c r="A160" s="3" t="s">
        <v>100</v>
      </c>
      <c r="B160" s="3" t="s">
        <v>12</v>
      </c>
      <c r="C160" s="3" t="s">
        <v>20</v>
      </c>
      <c r="D160" s="3" t="s">
        <v>101</v>
      </c>
      <c r="E160" s="3" t="s">
        <v>592</v>
      </c>
      <c r="F160" s="3" t="s">
        <v>593</v>
      </c>
      <c r="G160" s="3" t="s">
        <v>614</v>
      </c>
      <c r="H160" s="6"/>
    </row>
    <row r="161" spans="1:8" ht="87" x14ac:dyDescent="0.35">
      <c r="A161" s="3" t="s">
        <v>100</v>
      </c>
      <c r="B161" s="3" t="s">
        <v>12</v>
      </c>
      <c r="C161" s="3" t="s">
        <v>20</v>
      </c>
      <c r="D161" s="3" t="s">
        <v>101</v>
      </c>
      <c r="E161" s="3" t="s">
        <v>594</v>
      </c>
      <c r="F161" s="3" t="s">
        <v>595</v>
      </c>
      <c r="G161" s="3" t="s">
        <v>615</v>
      </c>
      <c r="H161" s="6"/>
    </row>
    <row r="162" spans="1:8" ht="116" x14ac:dyDescent="0.35">
      <c r="A162" s="3" t="s">
        <v>100</v>
      </c>
      <c r="B162" s="3" t="s">
        <v>12</v>
      </c>
      <c r="C162" s="3" t="s">
        <v>20</v>
      </c>
      <c r="D162" s="3" t="s">
        <v>101</v>
      </c>
      <c r="E162" s="3" t="s">
        <v>596</v>
      </c>
      <c r="F162" s="3" t="s">
        <v>597</v>
      </c>
      <c r="G162" s="3" t="s">
        <v>616</v>
      </c>
      <c r="H162" s="6"/>
    </row>
    <row r="163" spans="1:8" ht="43.5" x14ac:dyDescent="0.35">
      <c r="A163" s="3" t="s">
        <v>100</v>
      </c>
      <c r="B163" s="3" t="s">
        <v>12</v>
      </c>
      <c r="C163" s="3" t="s">
        <v>20</v>
      </c>
      <c r="D163" s="3" t="s">
        <v>101</v>
      </c>
      <c r="E163" s="3" t="s">
        <v>598</v>
      </c>
      <c r="F163" s="3" t="s">
        <v>599</v>
      </c>
      <c r="G163" s="3" t="s">
        <v>617</v>
      </c>
      <c r="H163" s="6"/>
    </row>
    <row r="164" spans="1:8" ht="58" x14ac:dyDescent="0.35">
      <c r="A164" s="3" t="s">
        <v>100</v>
      </c>
      <c r="B164" s="3" t="s">
        <v>12</v>
      </c>
      <c r="C164" s="3" t="s">
        <v>20</v>
      </c>
      <c r="D164" s="3" t="s">
        <v>101</v>
      </c>
      <c r="E164" s="3" t="s">
        <v>600</v>
      </c>
      <c r="F164" s="3" t="s">
        <v>601</v>
      </c>
      <c r="G164" s="3" t="s">
        <v>618</v>
      </c>
      <c r="H164" s="6"/>
    </row>
    <row r="165" spans="1:8" ht="43.5" x14ac:dyDescent="0.35">
      <c r="A165" s="5" t="s">
        <v>102</v>
      </c>
      <c r="B165" s="5" t="s">
        <v>12</v>
      </c>
      <c r="C165" s="5" t="s">
        <v>20</v>
      </c>
      <c r="D165" s="5" t="s">
        <v>103</v>
      </c>
      <c r="E165" s="5" t="s">
        <v>634</v>
      </c>
      <c r="F165" s="5" t="s">
        <v>635</v>
      </c>
      <c r="G165" s="5" t="s">
        <v>619</v>
      </c>
      <c r="H165" s="5"/>
    </row>
    <row r="166" spans="1:8" ht="43.5" x14ac:dyDescent="0.35">
      <c r="A166" s="5" t="s">
        <v>102</v>
      </c>
      <c r="B166" s="5" t="s">
        <v>12</v>
      </c>
      <c r="C166" s="5" t="s">
        <v>20</v>
      </c>
      <c r="D166" s="5" t="s">
        <v>103</v>
      </c>
      <c r="E166" s="5" t="s">
        <v>636</v>
      </c>
      <c r="F166" s="5" t="s">
        <v>637</v>
      </c>
      <c r="G166" s="5" t="s">
        <v>620</v>
      </c>
      <c r="H166" s="5"/>
    </row>
    <row r="167" spans="1:8" ht="43.5" x14ac:dyDescent="0.35">
      <c r="A167" s="5" t="s">
        <v>102</v>
      </c>
      <c r="B167" s="5" t="s">
        <v>12</v>
      </c>
      <c r="C167" s="5" t="s">
        <v>20</v>
      </c>
      <c r="D167" s="5" t="s">
        <v>103</v>
      </c>
      <c r="E167" s="5" t="s">
        <v>638</v>
      </c>
      <c r="F167" s="5" t="s">
        <v>639</v>
      </c>
      <c r="G167" s="5" t="s">
        <v>621</v>
      </c>
      <c r="H167" s="5"/>
    </row>
    <row r="168" spans="1:8" ht="43.5" x14ac:dyDescent="0.35">
      <c r="A168" s="5" t="s">
        <v>102</v>
      </c>
      <c r="B168" s="5" t="s">
        <v>12</v>
      </c>
      <c r="C168" s="5" t="s">
        <v>20</v>
      </c>
      <c r="D168" s="5" t="s">
        <v>103</v>
      </c>
      <c r="E168" s="5" t="s">
        <v>640</v>
      </c>
      <c r="F168" s="5" t="s">
        <v>641</v>
      </c>
      <c r="G168" s="5" t="s">
        <v>622</v>
      </c>
      <c r="H168" s="5"/>
    </row>
    <row r="169" spans="1:8" ht="101.5" x14ac:dyDescent="0.35">
      <c r="A169" s="5" t="s">
        <v>102</v>
      </c>
      <c r="B169" s="5" t="s">
        <v>12</v>
      </c>
      <c r="C169" s="5" t="s">
        <v>20</v>
      </c>
      <c r="D169" s="5" t="s">
        <v>103</v>
      </c>
      <c r="E169" s="5" t="s">
        <v>642</v>
      </c>
      <c r="F169" s="5" t="s">
        <v>643</v>
      </c>
      <c r="G169" s="5" t="s">
        <v>623</v>
      </c>
      <c r="H169" s="5"/>
    </row>
    <row r="170" spans="1:8" ht="43.5" x14ac:dyDescent="0.35">
      <c r="A170" s="5" t="s">
        <v>102</v>
      </c>
      <c r="B170" s="5" t="s">
        <v>12</v>
      </c>
      <c r="C170" s="5" t="s">
        <v>20</v>
      </c>
      <c r="D170" s="5" t="s">
        <v>103</v>
      </c>
      <c r="E170" s="5" t="s">
        <v>644</v>
      </c>
      <c r="F170" s="5" t="s">
        <v>645</v>
      </c>
      <c r="G170" s="5" t="s">
        <v>624</v>
      </c>
      <c r="H170" s="5"/>
    </row>
    <row r="171" spans="1:8" ht="72.5" x14ac:dyDescent="0.35">
      <c r="A171" s="5" t="s">
        <v>102</v>
      </c>
      <c r="B171" s="5" t="s">
        <v>12</v>
      </c>
      <c r="C171" s="5" t="s">
        <v>20</v>
      </c>
      <c r="D171" s="5" t="s">
        <v>103</v>
      </c>
      <c r="E171" s="5" t="s">
        <v>646</v>
      </c>
      <c r="F171" s="5" t="s">
        <v>647</v>
      </c>
      <c r="G171" s="5" t="s">
        <v>625</v>
      </c>
      <c r="H171" s="5"/>
    </row>
    <row r="172" spans="1:8" ht="58" x14ac:dyDescent="0.35">
      <c r="A172" s="5" t="s">
        <v>102</v>
      </c>
      <c r="B172" s="5" t="s">
        <v>12</v>
      </c>
      <c r="C172" s="5" t="s">
        <v>20</v>
      </c>
      <c r="D172" s="5" t="s">
        <v>103</v>
      </c>
      <c r="E172" s="5" t="s">
        <v>648</v>
      </c>
      <c r="F172" s="5" t="s">
        <v>649</v>
      </c>
      <c r="G172" s="5" t="s">
        <v>626</v>
      </c>
      <c r="H172" s="5" t="s">
        <v>631</v>
      </c>
    </row>
    <row r="173" spans="1:8" ht="43.5" x14ac:dyDescent="0.35">
      <c r="A173" s="5" t="s">
        <v>102</v>
      </c>
      <c r="B173" s="5" t="s">
        <v>12</v>
      </c>
      <c r="C173" s="5" t="s">
        <v>20</v>
      </c>
      <c r="D173" s="5" t="s">
        <v>103</v>
      </c>
      <c r="E173" s="5" t="s">
        <v>650</v>
      </c>
      <c r="F173" s="5" t="s">
        <v>651</v>
      </c>
      <c r="G173" s="5" t="s">
        <v>627</v>
      </c>
      <c r="H173" s="5"/>
    </row>
    <row r="174" spans="1:8" ht="87" x14ac:dyDescent="0.35">
      <c r="A174" s="5" t="s">
        <v>102</v>
      </c>
      <c r="B174" s="5" t="s">
        <v>12</v>
      </c>
      <c r="C174" s="5" t="s">
        <v>20</v>
      </c>
      <c r="D174" s="5" t="s">
        <v>103</v>
      </c>
      <c r="E174" s="5" t="s">
        <v>652</v>
      </c>
      <c r="F174" s="5" t="s">
        <v>653</v>
      </c>
      <c r="G174" s="5" t="s">
        <v>628</v>
      </c>
      <c r="H174" s="5" t="s">
        <v>632</v>
      </c>
    </row>
    <row r="175" spans="1:8" ht="116" x14ac:dyDescent="0.35">
      <c r="A175" s="5" t="s">
        <v>102</v>
      </c>
      <c r="B175" s="5" t="s">
        <v>12</v>
      </c>
      <c r="C175" s="5" t="s">
        <v>20</v>
      </c>
      <c r="D175" s="5" t="s">
        <v>103</v>
      </c>
      <c r="E175" s="5" t="s">
        <v>654</v>
      </c>
      <c r="F175" s="5" t="s">
        <v>655</v>
      </c>
      <c r="G175" s="5" t="s">
        <v>629</v>
      </c>
      <c r="H175" s="5" t="s">
        <v>633</v>
      </c>
    </row>
    <row r="176" spans="1:8" ht="159.5" x14ac:dyDescent="0.35">
      <c r="A176" s="5" t="s">
        <v>102</v>
      </c>
      <c r="B176" s="5" t="s">
        <v>12</v>
      </c>
      <c r="C176" s="5" t="s">
        <v>20</v>
      </c>
      <c r="D176" s="5" t="s">
        <v>103</v>
      </c>
      <c r="E176" s="5" t="s">
        <v>656</v>
      </c>
      <c r="F176" s="5" t="s">
        <v>657</v>
      </c>
      <c r="G176" s="5" t="s">
        <v>630</v>
      </c>
      <c r="H176" s="5"/>
    </row>
    <row r="177" spans="1:8" ht="58" x14ac:dyDescent="0.35">
      <c r="A177" s="3" t="s">
        <v>104</v>
      </c>
      <c r="B177" s="3" t="s">
        <v>12</v>
      </c>
      <c r="C177" s="3" t="s">
        <v>105</v>
      </c>
      <c r="D177" s="3" t="s">
        <v>106</v>
      </c>
      <c r="E177" s="3" t="s">
        <v>665</v>
      </c>
      <c r="F177" s="3" t="s">
        <v>666</v>
      </c>
      <c r="G177" s="3" t="s">
        <v>658</v>
      </c>
      <c r="H177" s="3"/>
    </row>
    <row r="178" spans="1:8" ht="87" x14ac:dyDescent="0.35">
      <c r="A178" s="3" t="s">
        <v>104</v>
      </c>
      <c r="B178" s="3" t="s">
        <v>12</v>
      </c>
      <c r="C178" s="3" t="s">
        <v>105</v>
      </c>
      <c r="D178" s="3" t="s">
        <v>106</v>
      </c>
      <c r="E178" s="3" t="s">
        <v>667</v>
      </c>
      <c r="F178" s="3" t="s">
        <v>668</v>
      </c>
      <c r="G178" s="3" t="s">
        <v>659</v>
      </c>
      <c r="H178" s="3"/>
    </row>
    <row r="179" spans="1:8" ht="174" x14ac:dyDescent="0.35">
      <c r="A179" s="3" t="s">
        <v>104</v>
      </c>
      <c r="B179" s="3" t="s">
        <v>12</v>
      </c>
      <c r="C179" s="3" t="s">
        <v>105</v>
      </c>
      <c r="D179" s="3" t="s">
        <v>106</v>
      </c>
      <c r="E179" s="3" t="s">
        <v>669</v>
      </c>
      <c r="F179" s="3" t="s">
        <v>670</v>
      </c>
      <c r="G179" s="3" t="s">
        <v>660</v>
      </c>
      <c r="H179" s="3" t="s">
        <v>107</v>
      </c>
    </row>
    <row r="180" spans="1:8" ht="58" x14ac:dyDescent="0.35">
      <c r="A180" s="3" t="s">
        <v>104</v>
      </c>
      <c r="B180" s="3" t="s">
        <v>12</v>
      </c>
      <c r="C180" s="3" t="s">
        <v>105</v>
      </c>
      <c r="D180" s="3" t="s">
        <v>106</v>
      </c>
      <c r="E180" s="3" t="s">
        <v>671</v>
      </c>
      <c r="F180" s="3" t="s">
        <v>672</v>
      </c>
      <c r="G180" s="3" t="s">
        <v>661</v>
      </c>
      <c r="H180" s="3"/>
    </row>
    <row r="181" spans="1:8" ht="58" x14ac:dyDescent="0.35">
      <c r="A181" s="3" t="s">
        <v>104</v>
      </c>
      <c r="B181" s="3" t="s">
        <v>12</v>
      </c>
      <c r="C181" s="3" t="s">
        <v>105</v>
      </c>
      <c r="D181" s="3" t="s">
        <v>106</v>
      </c>
      <c r="E181" s="3" t="s">
        <v>673</v>
      </c>
      <c r="F181" s="3" t="s">
        <v>674</v>
      </c>
      <c r="G181" s="3" t="s">
        <v>662</v>
      </c>
      <c r="H181" s="3"/>
    </row>
    <row r="182" spans="1:8" ht="72.5" x14ac:dyDescent="0.35">
      <c r="A182" s="3" t="s">
        <v>104</v>
      </c>
      <c r="B182" s="3" t="s">
        <v>12</v>
      </c>
      <c r="C182" s="3" t="s">
        <v>105</v>
      </c>
      <c r="D182" s="3" t="s">
        <v>106</v>
      </c>
      <c r="E182" s="3" t="s">
        <v>675</v>
      </c>
      <c r="F182" s="3" t="s">
        <v>676</v>
      </c>
      <c r="G182" s="3" t="s">
        <v>663</v>
      </c>
      <c r="H182" s="3"/>
    </row>
    <row r="183" spans="1:8" ht="58" x14ac:dyDescent="0.35">
      <c r="A183" s="3" t="s">
        <v>104</v>
      </c>
      <c r="B183" s="3" t="s">
        <v>12</v>
      </c>
      <c r="C183" s="3" t="s">
        <v>105</v>
      </c>
      <c r="D183" s="3" t="s">
        <v>106</v>
      </c>
      <c r="E183" s="3" t="s">
        <v>677</v>
      </c>
      <c r="F183" s="3" t="s">
        <v>678</v>
      </c>
      <c r="G183" s="3" t="s">
        <v>664</v>
      </c>
      <c r="H183" s="3"/>
    </row>
    <row r="184" spans="1:8" ht="101.5" x14ac:dyDescent="0.35">
      <c r="A184" s="5" t="s">
        <v>108</v>
      </c>
      <c r="B184" s="5" t="s">
        <v>7</v>
      </c>
      <c r="C184" s="5" t="s">
        <v>109</v>
      </c>
      <c r="D184" s="5" t="s">
        <v>110</v>
      </c>
      <c r="E184" s="5" t="s">
        <v>685</v>
      </c>
      <c r="F184" s="5" t="s">
        <v>686</v>
      </c>
      <c r="G184" s="5" t="s">
        <v>679</v>
      </c>
      <c r="H184" s="5" t="s">
        <v>682</v>
      </c>
    </row>
    <row r="185" spans="1:8" ht="217.5" x14ac:dyDescent="0.35">
      <c r="A185" s="5" t="s">
        <v>108</v>
      </c>
      <c r="B185" s="5" t="s">
        <v>7</v>
      </c>
      <c r="C185" s="5" t="s">
        <v>109</v>
      </c>
      <c r="D185" s="5" t="s">
        <v>110</v>
      </c>
      <c r="E185" s="5" t="s">
        <v>687</v>
      </c>
      <c r="F185" s="5" t="s">
        <v>688</v>
      </c>
      <c r="G185" s="5" t="s">
        <v>680</v>
      </c>
      <c r="H185" s="5" t="s">
        <v>683</v>
      </c>
    </row>
    <row r="186" spans="1:8" ht="87" x14ac:dyDescent="0.35">
      <c r="A186" s="5" t="s">
        <v>108</v>
      </c>
      <c r="B186" s="5" t="s">
        <v>7</v>
      </c>
      <c r="C186" s="5" t="s">
        <v>109</v>
      </c>
      <c r="D186" s="5" t="s">
        <v>110</v>
      </c>
      <c r="E186" s="5" t="s">
        <v>689</v>
      </c>
      <c r="F186" s="5" t="s">
        <v>690</v>
      </c>
      <c r="G186" s="5" t="s">
        <v>681</v>
      </c>
      <c r="H186" s="5" t="s">
        <v>684</v>
      </c>
    </row>
    <row r="187" spans="1:8" ht="72.5" x14ac:dyDescent="0.35">
      <c r="A187" s="3" t="s">
        <v>111</v>
      </c>
      <c r="B187" s="3" t="s">
        <v>44</v>
      </c>
      <c r="C187" s="3" t="s">
        <v>112</v>
      </c>
      <c r="D187" s="3" t="s">
        <v>113</v>
      </c>
      <c r="E187" s="3" t="s">
        <v>702</v>
      </c>
      <c r="F187" s="3" t="s">
        <v>703</v>
      </c>
      <c r="G187" s="3" t="s">
        <v>691</v>
      </c>
      <c r="H187" s="3"/>
    </row>
    <row r="188" spans="1:8" ht="72.5" x14ac:dyDescent="0.35">
      <c r="A188" s="3" t="s">
        <v>111</v>
      </c>
      <c r="B188" s="3" t="s">
        <v>44</v>
      </c>
      <c r="C188" s="3" t="s">
        <v>112</v>
      </c>
      <c r="D188" s="3" t="s">
        <v>113</v>
      </c>
      <c r="E188" s="3" t="s">
        <v>704</v>
      </c>
      <c r="F188" s="3" t="s">
        <v>705</v>
      </c>
      <c r="G188" s="3" t="s">
        <v>692</v>
      </c>
      <c r="H188" s="3" t="s">
        <v>697</v>
      </c>
    </row>
    <row r="189" spans="1:8" ht="87" x14ac:dyDescent="0.35">
      <c r="A189" s="3" t="s">
        <v>111</v>
      </c>
      <c r="B189" s="3" t="s">
        <v>44</v>
      </c>
      <c r="C189" s="3" t="s">
        <v>112</v>
      </c>
      <c r="D189" s="3" t="s">
        <v>113</v>
      </c>
      <c r="E189" s="3" t="s">
        <v>706</v>
      </c>
      <c r="F189" s="3" t="s">
        <v>707</v>
      </c>
      <c r="G189" s="3" t="s">
        <v>693</v>
      </c>
      <c r="H189" s="3" t="s">
        <v>698</v>
      </c>
    </row>
    <row r="190" spans="1:8" ht="87" x14ac:dyDescent="0.35">
      <c r="A190" s="3" t="s">
        <v>111</v>
      </c>
      <c r="B190" s="3" t="s">
        <v>44</v>
      </c>
      <c r="C190" s="3" t="s">
        <v>112</v>
      </c>
      <c r="D190" s="3" t="s">
        <v>113</v>
      </c>
      <c r="E190" s="3" t="s">
        <v>708</v>
      </c>
      <c r="F190" s="3" t="s">
        <v>709</v>
      </c>
      <c r="G190" s="3" t="s">
        <v>694</v>
      </c>
      <c r="H190" s="3" t="s">
        <v>699</v>
      </c>
    </row>
    <row r="191" spans="1:8" ht="101.5" x14ac:dyDescent="0.35">
      <c r="A191" s="3" t="s">
        <v>111</v>
      </c>
      <c r="B191" s="3" t="s">
        <v>44</v>
      </c>
      <c r="C191" s="3" t="s">
        <v>112</v>
      </c>
      <c r="D191" s="3" t="s">
        <v>113</v>
      </c>
      <c r="E191" s="3" t="s">
        <v>710</v>
      </c>
      <c r="F191" s="3" t="s">
        <v>711</v>
      </c>
      <c r="G191" s="3" t="s">
        <v>695</v>
      </c>
      <c r="H191" s="3" t="s">
        <v>700</v>
      </c>
    </row>
    <row r="192" spans="1:8" ht="87" x14ac:dyDescent="0.35">
      <c r="A192" s="3" t="s">
        <v>111</v>
      </c>
      <c r="B192" s="3" t="s">
        <v>44</v>
      </c>
      <c r="C192" s="3" t="s">
        <v>112</v>
      </c>
      <c r="D192" s="3" t="s">
        <v>113</v>
      </c>
      <c r="E192" s="3" t="s">
        <v>712</v>
      </c>
      <c r="F192" s="3" t="s">
        <v>713</v>
      </c>
      <c r="G192" s="3" t="s">
        <v>696</v>
      </c>
      <c r="H192" s="3" t="s">
        <v>701</v>
      </c>
    </row>
    <row r="193" spans="1:8" ht="87" x14ac:dyDescent="0.35">
      <c r="A193" s="5" t="s">
        <v>114</v>
      </c>
      <c r="B193" s="5" t="s">
        <v>12</v>
      </c>
      <c r="C193" s="5" t="s">
        <v>20</v>
      </c>
      <c r="D193" s="5" t="s">
        <v>115</v>
      </c>
      <c r="E193" s="5" t="s">
        <v>723</v>
      </c>
      <c r="F193" s="5" t="s">
        <v>724</v>
      </c>
      <c r="G193" s="5" t="s">
        <v>714</v>
      </c>
      <c r="H193" s="5"/>
    </row>
    <row r="194" spans="1:8" ht="87" x14ac:dyDescent="0.35">
      <c r="A194" s="5" t="s">
        <v>114</v>
      </c>
      <c r="B194" s="5" t="s">
        <v>12</v>
      </c>
      <c r="C194" s="5" t="s">
        <v>20</v>
      </c>
      <c r="D194" s="5" t="s">
        <v>115</v>
      </c>
      <c r="E194" s="5" t="s">
        <v>725</v>
      </c>
      <c r="F194" s="5" t="s">
        <v>726</v>
      </c>
      <c r="G194" s="5" t="s">
        <v>715</v>
      </c>
      <c r="H194" s="5"/>
    </row>
    <row r="195" spans="1:8" ht="87" x14ac:dyDescent="0.35">
      <c r="A195" s="5" t="s">
        <v>114</v>
      </c>
      <c r="B195" s="5" t="s">
        <v>12</v>
      </c>
      <c r="C195" s="5" t="s">
        <v>20</v>
      </c>
      <c r="D195" s="5" t="s">
        <v>115</v>
      </c>
      <c r="E195" s="5" t="s">
        <v>727</v>
      </c>
      <c r="F195" s="5" t="s">
        <v>728</v>
      </c>
      <c r="G195" s="5" t="s">
        <v>716</v>
      </c>
      <c r="H195" s="5"/>
    </row>
    <row r="196" spans="1:8" ht="87" x14ac:dyDescent="0.35">
      <c r="A196" s="5" t="s">
        <v>114</v>
      </c>
      <c r="B196" s="5" t="s">
        <v>12</v>
      </c>
      <c r="C196" s="5" t="s">
        <v>20</v>
      </c>
      <c r="D196" s="5" t="s">
        <v>115</v>
      </c>
      <c r="E196" s="5" t="s">
        <v>729</v>
      </c>
      <c r="F196" s="5" t="s">
        <v>730</v>
      </c>
      <c r="G196" s="5" t="s">
        <v>717</v>
      </c>
      <c r="H196" s="5"/>
    </row>
    <row r="197" spans="1:8" ht="87" x14ac:dyDescent="0.35">
      <c r="A197" s="5" t="s">
        <v>114</v>
      </c>
      <c r="B197" s="5" t="s">
        <v>12</v>
      </c>
      <c r="C197" s="5" t="s">
        <v>20</v>
      </c>
      <c r="D197" s="5" t="s">
        <v>115</v>
      </c>
      <c r="E197" s="5" t="s">
        <v>731</v>
      </c>
      <c r="F197" s="5" t="s">
        <v>732</v>
      </c>
      <c r="G197" s="5" t="s">
        <v>718</v>
      </c>
      <c r="H197" s="5"/>
    </row>
    <row r="198" spans="1:8" ht="87" x14ac:dyDescent="0.35">
      <c r="A198" s="5" t="s">
        <v>114</v>
      </c>
      <c r="B198" s="5" t="s">
        <v>12</v>
      </c>
      <c r="C198" s="5" t="s">
        <v>20</v>
      </c>
      <c r="D198" s="5" t="s">
        <v>115</v>
      </c>
      <c r="E198" s="5" t="s">
        <v>733</v>
      </c>
      <c r="F198" s="5" t="s">
        <v>734</v>
      </c>
      <c r="G198" s="5" t="s">
        <v>719</v>
      </c>
      <c r="H198" s="5"/>
    </row>
    <row r="199" spans="1:8" ht="87" x14ac:dyDescent="0.35">
      <c r="A199" s="5" t="s">
        <v>114</v>
      </c>
      <c r="B199" s="5" t="s">
        <v>12</v>
      </c>
      <c r="C199" s="5" t="s">
        <v>20</v>
      </c>
      <c r="D199" s="5" t="s">
        <v>115</v>
      </c>
      <c r="E199" s="5" t="s">
        <v>735</v>
      </c>
      <c r="F199" s="5" t="s">
        <v>736</v>
      </c>
      <c r="G199" s="5" t="s">
        <v>720</v>
      </c>
      <c r="H199" s="5"/>
    </row>
    <row r="200" spans="1:8" ht="87" x14ac:dyDescent="0.35">
      <c r="A200" s="5" t="s">
        <v>114</v>
      </c>
      <c r="B200" s="5" t="s">
        <v>12</v>
      </c>
      <c r="C200" s="5" t="s">
        <v>20</v>
      </c>
      <c r="D200" s="5" t="s">
        <v>115</v>
      </c>
      <c r="E200" s="5" t="s">
        <v>737</v>
      </c>
      <c r="F200" s="5" t="s">
        <v>738</v>
      </c>
      <c r="G200" s="5" t="s">
        <v>721</v>
      </c>
      <c r="H200" s="5"/>
    </row>
    <row r="201" spans="1:8" ht="87" x14ac:dyDescent="0.35">
      <c r="A201" s="5" t="s">
        <v>114</v>
      </c>
      <c r="B201" s="5" t="s">
        <v>12</v>
      </c>
      <c r="C201" s="5" t="s">
        <v>20</v>
      </c>
      <c r="D201" s="5" t="s">
        <v>115</v>
      </c>
      <c r="E201" s="5" t="s">
        <v>739</v>
      </c>
      <c r="F201" s="5" t="s">
        <v>740</v>
      </c>
      <c r="G201" s="5" t="s">
        <v>722</v>
      </c>
      <c r="H201" s="5"/>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A6DF5-4DC5-4ABB-A94A-B2D2AE4EEB1C}">
  <dimension ref="A1:N179"/>
  <sheetViews>
    <sheetView zoomScale="67" zoomScaleNormal="40" workbookViewId="0">
      <selection activeCell="K7" sqref="K7"/>
    </sheetView>
  </sheetViews>
  <sheetFormatPr baseColWidth="10" defaultRowHeight="14.5" x14ac:dyDescent="0.35"/>
  <cols>
    <col min="2" max="2" width="19.08984375" customWidth="1"/>
    <col min="4" max="4" width="18.453125" customWidth="1"/>
    <col min="5" max="5" width="64.54296875" customWidth="1"/>
    <col min="6" max="6" width="19" customWidth="1"/>
    <col min="7" max="7" width="26.1796875" customWidth="1"/>
    <col min="8" max="8" width="31" customWidth="1"/>
    <col min="9" max="9" width="27.453125" customWidth="1"/>
    <col min="10" max="10" width="23.1796875" customWidth="1"/>
    <col min="11" max="11" width="37.26953125" customWidth="1"/>
    <col min="12" max="12" width="36.54296875" customWidth="1"/>
    <col min="13" max="13" width="20.26953125" customWidth="1"/>
    <col min="14" max="14" width="51" customWidth="1"/>
  </cols>
  <sheetData>
    <row r="1" spans="1:14" ht="29" x14ac:dyDescent="0.35">
      <c r="A1" s="9" t="s">
        <v>741</v>
      </c>
      <c r="B1" s="9" t="s">
        <v>2</v>
      </c>
      <c r="C1" s="9" t="s">
        <v>965</v>
      </c>
      <c r="D1" s="9" t="s">
        <v>966</v>
      </c>
      <c r="E1" s="9" t="s">
        <v>967</v>
      </c>
      <c r="F1" s="9" t="s">
        <v>745</v>
      </c>
      <c r="G1" s="9" t="s">
        <v>746</v>
      </c>
      <c r="H1" s="9" t="s">
        <v>747</v>
      </c>
      <c r="I1" s="9" t="s">
        <v>748</v>
      </c>
      <c r="J1" s="9" t="s">
        <v>749</v>
      </c>
      <c r="K1" s="9" t="s">
        <v>1272</v>
      </c>
      <c r="L1" s="29" t="s">
        <v>1474</v>
      </c>
      <c r="M1" s="29" t="s">
        <v>1476</v>
      </c>
      <c r="N1" s="29" t="s">
        <v>1475</v>
      </c>
    </row>
    <row r="2" spans="1:14" ht="58" x14ac:dyDescent="0.35">
      <c r="A2" s="3" t="s">
        <v>6</v>
      </c>
      <c r="B2" s="3" t="s">
        <v>7</v>
      </c>
      <c r="C2" s="3">
        <v>2023</v>
      </c>
      <c r="D2" s="3" t="s">
        <v>968</v>
      </c>
      <c r="E2" s="3" t="s">
        <v>969</v>
      </c>
      <c r="F2" s="3" t="s">
        <v>775</v>
      </c>
      <c r="G2" s="3"/>
      <c r="H2" s="3"/>
      <c r="I2" s="3"/>
      <c r="J2" s="3"/>
      <c r="K2" s="3" t="s">
        <v>970</v>
      </c>
      <c r="L2" s="30" t="str" cm="1">
        <f t="array" ref="L2:L83">_xlfn.UNIQUE(K2:K179)</f>
        <v>technical_barrier_domain_experts</v>
      </c>
      <c r="M2" s="30">
        <f>COUNTIF(K2:K179,L2)</f>
        <v>1</v>
      </c>
      <c r="N2" s="31" t="str" cm="1">
        <f t="array" ref="N2">_xlfn.TEXTJOIN(", ",TRUE,_xlfn._xlws.FILTER(A2:A179,K2:K179=L2))</f>
        <v>A1</v>
      </c>
    </row>
    <row r="3" spans="1:14" ht="43.5" x14ac:dyDescent="0.35">
      <c r="A3" s="3" t="s">
        <v>6</v>
      </c>
      <c r="B3" s="3" t="s">
        <v>7</v>
      </c>
      <c r="C3" s="3">
        <v>2023</v>
      </c>
      <c r="D3" s="3" t="s">
        <v>971</v>
      </c>
      <c r="E3" s="3" t="s">
        <v>972</v>
      </c>
      <c r="F3" s="3" t="s">
        <v>767</v>
      </c>
      <c r="G3" s="3"/>
      <c r="H3" s="3"/>
      <c r="I3" s="3"/>
      <c r="J3" s="3"/>
      <c r="K3" s="3" t="s">
        <v>973</v>
      </c>
      <c r="L3" s="30" t="str">
        <v>lack_design_guidelines</v>
      </c>
      <c r="M3" s="30">
        <f t="shared" ref="M3:M66" si="0">COUNTIF(K3:K180,L3)</f>
        <v>1</v>
      </c>
      <c r="N3" s="31" t="str" cm="1">
        <f t="array" ref="N3">_xlfn.TEXTJOIN(", ",TRUE,_xlfn._xlws.FILTER(A3:A180,K3:K180=L3))</f>
        <v>A1</v>
      </c>
    </row>
    <row r="4" spans="1:14" ht="43.5" x14ac:dyDescent="0.35">
      <c r="A4" s="3" t="s">
        <v>6</v>
      </c>
      <c r="B4" s="3" t="s">
        <v>7</v>
      </c>
      <c r="C4" s="3">
        <v>2023</v>
      </c>
      <c r="D4" s="3" t="s">
        <v>974</v>
      </c>
      <c r="E4" s="3" t="s">
        <v>975</v>
      </c>
      <c r="F4" s="3" t="s">
        <v>772</v>
      </c>
      <c r="G4" s="3" t="s">
        <v>976</v>
      </c>
      <c r="H4" s="3" t="s">
        <v>977</v>
      </c>
      <c r="I4" s="3"/>
      <c r="J4" s="3"/>
      <c r="K4" s="3" t="s">
        <v>978</v>
      </c>
      <c r="L4" s="30" t="str">
        <v>lack_emotion_recognition</v>
      </c>
      <c r="M4" s="30">
        <f t="shared" si="0"/>
        <v>2</v>
      </c>
      <c r="N4" s="31" t="str" cm="1">
        <f t="array" ref="N4">_xlfn.TEXTJOIN(", ",TRUE,_xlfn._xlws.FILTER(A4:A181,K4:K181=L4))</f>
        <v>A1, C2</v>
      </c>
    </row>
    <row r="5" spans="1:14" ht="43.5" x14ac:dyDescent="0.35">
      <c r="A5" s="3" t="s">
        <v>6</v>
      </c>
      <c r="B5" s="3" t="s">
        <v>7</v>
      </c>
      <c r="C5" s="3">
        <v>2023</v>
      </c>
      <c r="D5" s="3" t="s">
        <v>979</v>
      </c>
      <c r="E5" s="3" t="s">
        <v>980</v>
      </c>
      <c r="F5" s="3" t="s">
        <v>772</v>
      </c>
      <c r="G5" s="3" t="s">
        <v>977</v>
      </c>
      <c r="H5" s="3"/>
      <c r="I5" s="3"/>
      <c r="J5" s="3"/>
      <c r="K5" s="3" t="s">
        <v>981</v>
      </c>
      <c r="L5" s="30" t="str">
        <v>low_performance_disabled_users</v>
      </c>
      <c r="M5" s="30">
        <f t="shared" si="0"/>
        <v>1</v>
      </c>
      <c r="N5" s="31" t="str" cm="1">
        <f t="array" ref="N5">_xlfn.TEXTJOIN(", ",TRUE,_xlfn._xlws.FILTER(A5:A182,K5:K182=L5))</f>
        <v>A1</v>
      </c>
    </row>
    <row r="6" spans="1:14" ht="29" x14ac:dyDescent="0.35">
      <c r="A6" s="3" t="s">
        <v>11</v>
      </c>
      <c r="B6" s="3" t="s">
        <v>12</v>
      </c>
      <c r="C6" s="3">
        <v>2024</v>
      </c>
      <c r="D6" s="3" t="s">
        <v>968</v>
      </c>
      <c r="E6" s="3" t="s">
        <v>982</v>
      </c>
      <c r="F6" s="3" t="s">
        <v>775</v>
      </c>
      <c r="G6" s="3"/>
      <c r="H6" s="3"/>
      <c r="I6" s="3"/>
      <c r="J6" s="3"/>
      <c r="K6" s="3" t="s">
        <v>983</v>
      </c>
      <c r="L6" s="30" t="str">
        <v>AI_integration_real_world</v>
      </c>
      <c r="M6" s="30">
        <f t="shared" si="0"/>
        <v>2</v>
      </c>
      <c r="N6" s="31" t="str" cm="1">
        <f t="array" ref="N6">_xlfn.TEXTJOIN(", ",TRUE,_xlfn._xlws.FILTER(A6:A183,K6:K183=L6))</f>
        <v>A3, A3</v>
      </c>
    </row>
    <row r="7" spans="1:14" ht="29" x14ac:dyDescent="0.35">
      <c r="A7" s="3" t="s">
        <v>11</v>
      </c>
      <c r="B7" s="3" t="s">
        <v>12</v>
      </c>
      <c r="C7" s="3">
        <v>2024</v>
      </c>
      <c r="D7" s="3" t="s">
        <v>971</v>
      </c>
      <c r="E7" s="3" t="s">
        <v>984</v>
      </c>
      <c r="F7" s="3" t="s">
        <v>766</v>
      </c>
      <c r="G7" s="3" t="s">
        <v>976</v>
      </c>
      <c r="H7" s="3"/>
      <c r="I7" s="3"/>
      <c r="J7" s="3"/>
      <c r="K7" s="3" t="s">
        <v>985</v>
      </c>
      <c r="L7" s="30" t="str">
        <v>user_interaction_issues</v>
      </c>
      <c r="M7" s="30">
        <f t="shared" si="0"/>
        <v>1</v>
      </c>
      <c r="N7" s="31" t="str" cm="1">
        <f t="array" ref="N7">_xlfn.TEXTJOIN(", ",TRUE,_xlfn._xlws.FILTER(A7:A184,K7:K184=L7))</f>
        <v>A3</v>
      </c>
    </row>
    <row r="8" spans="1:14" ht="43.5" x14ac:dyDescent="0.35">
      <c r="A8" s="3" t="s">
        <v>11</v>
      </c>
      <c r="B8" s="3" t="s">
        <v>12</v>
      </c>
      <c r="C8" s="3">
        <v>2024</v>
      </c>
      <c r="D8" s="3" t="s">
        <v>974</v>
      </c>
      <c r="E8" s="3" t="s">
        <v>986</v>
      </c>
      <c r="F8" s="3" t="s">
        <v>772</v>
      </c>
      <c r="G8" s="3" t="s">
        <v>767</v>
      </c>
      <c r="H8" s="3" t="s">
        <v>987</v>
      </c>
      <c r="I8" s="3"/>
      <c r="J8" s="3"/>
      <c r="K8" s="3" t="s">
        <v>988</v>
      </c>
      <c r="L8" s="30" t="str">
        <v>NLP_interaction_design_gap</v>
      </c>
      <c r="M8" s="30">
        <f t="shared" si="0"/>
        <v>1</v>
      </c>
      <c r="N8" s="31" t="str" cm="1">
        <f t="array" ref="N8">_xlfn.TEXTJOIN(", ",TRUE,_xlfn._xlws.FILTER(A8:A185,K8:K185=L8))</f>
        <v>A3</v>
      </c>
    </row>
    <row r="9" spans="1:14" ht="29" x14ac:dyDescent="0.35">
      <c r="A9" s="3" t="s">
        <v>11</v>
      </c>
      <c r="B9" s="3" t="s">
        <v>12</v>
      </c>
      <c r="C9" s="3">
        <v>2024</v>
      </c>
      <c r="D9" s="3" t="s">
        <v>979</v>
      </c>
      <c r="E9" s="3" t="s">
        <v>989</v>
      </c>
      <c r="F9" s="3" t="s">
        <v>766</v>
      </c>
      <c r="G9" s="3"/>
      <c r="H9" s="3"/>
      <c r="I9" s="3"/>
      <c r="J9" s="3"/>
      <c r="K9" s="3" t="s">
        <v>990</v>
      </c>
      <c r="L9" s="30" t="str">
        <v>irrelevant_verbose_responses</v>
      </c>
      <c r="M9" s="30">
        <f t="shared" si="0"/>
        <v>1</v>
      </c>
      <c r="N9" s="31" t="str" cm="1">
        <f t="array" ref="N9">_xlfn.TEXTJOIN(", ",TRUE,_xlfn._xlws.FILTER(A9:A186,K9:K186=L9))</f>
        <v>A3</v>
      </c>
    </row>
    <row r="10" spans="1:14" ht="43.5" x14ac:dyDescent="0.35">
      <c r="A10" s="3" t="s">
        <v>11</v>
      </c>
      <c r="B10" s="3" t="s">
        <v>12</v>
      </c>
      <c r="C10" s="3">
        <v>2024</v>
      </c>
      <c r="D10" s="3" t="s">
        <v>991</v>
      </c>
      <c r="E10" s="3" t="s">
        <v>992</v>
      </c>
      <c r="F10" s="3" t="s">
        <v>993</v>
      </c>
      <c r="G10" s="3" t="s">
        <v>766</v>
      </c>
      <c r="H10" s="3" t="s">
        <v>789</v>
      </c>
      <c r="I10" s="3"/>
      <c r="J10" s="3"/>
      <c r="K10" s="3" t="s">
        <v>994</v>
      </c>
      <c r="L10" s="30" t="str">
        <v>response_latency_tradeoff</v>
      </c>
      <c r="M10" s="30">
        <f t="shared" si="0"/>
        <v>2</v>
      </c>
      <c r="N10" s="31" t="str" cm="1">
        <f t="array" ref="N10">_xlfn.TEXTJOIN(", ",TRUE,_xlfn._xlws.FILTER(A10:A187,K10:K187=L10))</f>
        <v>A3, B3</v>
      </c>
    </row>
    <row r="11" spans="1:14" ht="43.5" x14ac:dyDescent="0.35">
      <c r="A11" s="3" t="s">
        <v>11</v>
      </c>
      <c r="B11" s="3" t="s">
        <v>12</v>
      </c>
      <c r="C11" s="3">
        <v>2024</v>
      </c>
      <c r="D11" s="3" t="s">
        <v>995</v>
      </c>
      <c r="E11" s="3" t="s">
        <v>996</v>
      </c>
      <c r="F11" s="3" t="s">
        <v>770</v>
      </c>
      <c r="G11" s="3" t="s">
        <v>789</v>
      </c>
      <c r="H11" s="3"/>
      <c r="I11" s="3"/>
      <c r="J11" s="3"/>
      <c r="K11" s="3" t="s">
        <v>997</v>
      </c>
      <c r="L11" s="30" t="str">
        <v>contextual_data_scarcity</v>
      </c>
      <c r="M11" s="30">
        <f t="shared" si="0"/>
        <v>5</v>
      </c>
      <c r="N11" s="31" t="str" cm="1">
        <f t="array" ref="N11">_xlfn.TEXTJOIN(", ",TRUE,_xlfn._xlws.FILTER(A11:A188,K11:K188=L11))</f>
        <v>A3, A3, B3, C3, C3</v>
      </c>
    </row>
    <row r="12" spans="1:14" ht="43.5" x14ac:dyDescent="0.35">
      <c r="A12" s="3" t="s">
        <v>11</v>
      </c>
      <c r="B12" s="3" t="s">
        <v>12</v>
      </c>
      <c r="C12" s="3">
        <v>2024</v>
      </c>
      <c r="D12" s="3" t="s">
        <v>998</v>
      </c>
      <c r="E12" s="3" t="s">
        <v>999</v>
      </c>
      <c r="F12" s="3" t="s">
        <v>767</v>
      </c>
      <c r="G12" s="3" t="s">
        <v>772</v>
      </c>
      <c r="H12" s="3" t="s">
        <v>766</v>
      </c>
      <c r="I12" s="3"/>
      <c r="J12" s="3"/>
      <c r="K12" s="3" t="s">
        <v>1000</v>
      </c>
      <c r="L12" s="30" t="str">
        <v>conversational_UI_design_gaps</v>
      </c>
      <c r="M12" s="30">
        <f t="shared" si="0"/>
        <v>1</v>
      </c>
      <c r="N12" s="31" t="str" cm="1">
        <f t="array" ref="N12">_xlfn.TEXTJOIN(", ",TRUE,_xlfn._xlws.FILTER(A12:A189,K12:K189=L12))</f>
        <v>A3</v>
      </c>
    </row>
    <row r="13" spans="1:14" ht="43.5" x14ac:dyDescent="0.35">
      <c r="A13" s="3" t="s">
        <v>11</v>
      </c>
      <c r="B13" s="3" t="s">
        <v>12</v>
      </c>
      <c r="C13" s="3">
        <v>2024</v>
      </c>
      <c r="D13" s="3" t="s">
        <v>1001</v>
      </c>
      <c r="E13" s="3" t="s">
        <v>1002</v>
      </c>
      <c r="F13" s="3" t="s">
        <v>756</v>
      </c>
      <c r="G13" s="3" t="s">
        <v>767</v>
      </c>
      <c r="H13" s="3" t="s">
        <v>766</v>
      </c>
      <c r="I13" s="3"/>
      <c r="J13" s="3"/>
      <c r="K13" s="3" t="s">
        <v>1004</v>
      </c>
      <c r="L13" s="30" t="str">
        <v>lack_usability_standards</v>
      </c>
      <c r="M13" s="30">
        <f t="shared" si="0"/>
        <v>1</v>
      </c>
      <c r="N13" s="31" t="str" cm="1">
        <f t="array" ref="N13">_xlfn.TEXTJOIN(", ",TRUE,_xlfn._xlws.FILTER(A13:A190,K13:K190=L13))</f>
        <v>A3</v>
      </c>
    </row>
    <row r="14" spans="1:14" ht="43.5" x14ac:dyDescent="0.35">
      <c r="A14" s="3" t="s">
        <v>11</v>
      </c>
      <c r="B14" s="3" t="s">
        <v>12</v>
      </c>
      <c r="C14" s="3">
        <v>2024</v>
      </c>
      <c r="D14" s="3" t="s">
        <v>1005</v>
      </c>
      <c r="E14" s="3" t="s">
        <v>1006</v>
      </c>
      <c r="F14" s="3" t="s">
        <v>1007</v>
      </c>
      <c r="G14" s="3" t="s">
        <v>766</v>
      </c>
      <c r="H14" s="3"/>
      <c r="I14" s="3"/>
      <c r="J14" s="3"/>
      <c r="K14" s="3" t="s">
        <v>1008</v>
      </c>
      <c r="L14" s="30" t="str">
        <v>expectation_utility_gap</v>
      </c>
      <c r="M14" s="30">
        <f t="shared" si="0"/>
        <v>1</v>
      </c>
      <c r="N14" s="31" t="str" cm="1">
        <f t="array" ref="N14">_xlfn.TEXTJOIN(", ",TRUE,_xlfn._xlws.FILTER(A14:A191,K14:K191=L14))</f>
        <v>A3</v>
      </c>
    </row>
    <row r="15" spans="1:14" ht="43.5" x14ac:dyDescent="0.35">
      <c r="A15" s="3" t="s">
        <v>11</v>
      </c>
      <c r="B15" s="3" t="s">
        <v>12</v>
      </c>
      <c r="C15" s="3">
        <v>2024</v>
      </c>
      <c r="D15" s="3" t="s">
        <v>1009</v>
      </c>
      <c r="E15" s="3" t="s">
        <v>1010</v>
      </c>
      <c r="F15" s="3" t="s">
        <v>770</v>
      </c>
      <c r="G15" s="3" t="s">
        <v>789</v>
      </c>
      <c r="H15" s="3"/>
      <c r="I15" s="3"/>
      <c r="J15" s="3"/>
      <c r="K15" s="3" t="s">
        <v>1011</v>
      </c>
      <c r="L15" s="30" t="str">
        <v>training_data_context_scarcity</v>
      </c>
      <c r="M15" s="30">
        <f t="shared" si="0"/>
        <v>1</v>
      </c>
      <c r="N15" s="31" t="str" cm="1">
        <f t="array" ref="N15">_xlfn.TEXTJOIN(", ",TRUE,_xlfn._xlws.FILTER(A15:A192,K15:K192=L15))</f>
        <v>A3</v>
      </c>
    </row>
    <row r="16" spans="1:14" ht="43.5" x14ac:dyDescent="0.35">
      <c r="A16" s="3" t="s">
        <v>11</v>
      </c>
      <c r="B16" s="3" t="s">
        <v>12</v>
      </c>
      <c r="C16" s="3">
        <v>2024</v>
      </c>
      <c r="D16" s="3" t="s">
        <v>1012</v>
      </c>
      <c r="E16" s="3" t="s">
        <v>1013</v>
      </c>
      <c r="F16" s="3" t="s">
        <v>762</v>
      </c>
      <c r="G16" s="3"/>
      <c r="H16" s="3"/>
      <c r="I16" s="3"/>
      <c r="J16" s="3"/>
      <c r="K16" s="3" t="s">
        <v>1014</v>
      </c>
      <c r="L16" s="30" t="str">
        <v>user_trust</v>
      </c>
      <c r="M16" s="30">
        <f t="shared" si="0"/>
        <v>7</v>
      </c>
      <c r="N16" s="31" t="str" cm="1">
        <f t="array" ref="N16">_xlfn.TEXTJOIN(", ",TRUE,_xlfn._xlws.FILTER(A16:A193,K16:K193=L16))</f>
        <v>A3, A7, A7, B4, B17, B23, C1</v>
      </c>
    </row>
    <row r="17" spans="1:14" ht="29" x14ac:dyDescent="0.35">
      <c r="A17" s="3" t="s">
        <v>11</v>
      </c>
      <c r="B17" s="3" t="s">
        <v>12</v>
      </c>
      <c r="C17" s="3">
        <v>2024</v>
      </c>
      <c r="D17" s="3" t="s">
        <v>1015</v>
      </c>
      <c r="E17" s="3" t="s">
        <v>1016</v>
      </c>
      <c r="F17" s="3" t="s">
        <v>783</v>
      </c>
      <c r="G17" s="3"/>
      <c r="H17" s="3"/>
      <c r="I17" s="3"/>
      <c r="J17" s="3"/>
      <c r="K17" s="3" t="s">
        <v>1017</v>
      </c>
      <c r="L17" s="30" t="str">
        <v>model_bias_fairness</v>
      </c>
      <c r="M17" s="30">
        <f t="shared" si="0"/>
        <v>2</v>
      </c>
      <c r="N17" s="31" t="str" cm="1">
        <f t="array" ref="N17">_xlfn.TEXTJOIN(", ",TRUE,_xlfn._xlws.FILTER(A17:A194,K17:K194=L17))</f>
        <v>A3, B2</v>
      </c>
    </row>
    <row r="18" spans="1:14" ht="29" x14ac:dyDescent="0.35">
      <c r="A18" s="3" t="s">
        <v>11</v>
      </c>
      <c r="B18" s="3" t="s">
        <v>12</v>
      </c>
      <c r="C18" s="3">
        <v>2024</v>
      </c>
      <c r="D18" s="3" t="s">
        <v>1018</v>
      </c>
      <c r="E18" s="3" t="s">
        <v>1019</v>
      </c>
      <c r="F18" s="3" t="s">
        <v>767</v>
      </c>
      <c r="G18" s="3" t="s">
        <v>766</v>
      </c>
      <c r="H18" s="3"/>
      <c r="I18" s="3"/>
      <c r="J18" s="3"/>
      <c r="K18" s="3" t="s">
        <v>1020</v>
      </c>
      <c r="L18" s="30" t="str">
        <v>uncanny_valley_management</v>
      </c>
      <c r="M18" s="30">
        <f t="shared" si="0"/>
        <v>1</v>
      </c>
      <c r="N18" s="31" t="str" cm="1">
        <f t="array" ref="N18">_xlfn.TEXTJOIN(", ",TRUE,_xlfn._xlws.FILTER(A18:A195,K18:K195=L18))</f>
        <v>A3</v>
      </c>
    </row>
    <row r="19" spans="1:14" ht="29" x14ac:dyDescent="0.35">
      <c r="A19" s="3" t="s">
        <v>11</v>
      </c>
      <c r="B19" s="3" t="s">
        <v>12</v>
      </c>
      <c r="C19" s="3">
        <v>2024</v>
      </c>
      <c r="D19" s="3" t="s">
        <v>1021</v>
      </c>
      <c r="E19" s="3" t="s">
        <v>1022</v>
      </c>
      <c r="F19" s="3" t="s">
        <v>762</v>
      </c>
      <c r="G19" s="3" t="s">
        <v>783</v>
      </c>
      <c r="H19" s="3"/>
      <c r="I19" s="3"/>
      <c r="J19" s="3"/>
      <c r="K19" s="3" t="s">
        <v>1023</v>
      </c>
      <c r="L19" s="30" t="str">
        <v>security_privacy_trust</v>
      </c>
      <c r="M19" s="30">
        <f t="shared" si="0"/>
        <v>18</v>
      </c>
      <c r="N19" s="31" t="str" cm="1">
        <f t="array" ref="N19">_xlfn.TEXTJOIN(", ",TRUE,_xlfn._xlws.FILTER(A19:A196,K19:K196=L19))</f>
        <v>A3, A5, B2, B2, B2, B2, B2, B2, B12, B13, B17, B18, B20, B22, B25, B25, B25, B25</v>
      </c>
    </row>
    <row r="20" spans="1:14" ht="43.5" x14ac:dyDescent="0.35">
      <c r="A20" s="3" t="s">
        <v>11</v>
      </c>
      <c r="B20" s="3" t="s">
        <v>12</v>
      </c>
      <c r="C20" s="3">
        <v>2024</v>
      </c>
      <c r="D20" s="3" t="s">
        <v>1024</v>
      </c>
      <c r="E20" s="3" t="s">
        <v>1025</v>
      </c>
      <c r="F20" s="3" t="s">
        <v>756</v>
      </c>
      <c r="G20" s="3"/>
      <c r="H20" s="3"/>
      <c r="I20" s="3"/>
      <c r="J20" s="3"/>
      <c r="K20" s="3" t="s">
        <v>1026</v>
      </c>
      <c r="L20" s="30" t="str">
        <v>classification_search_standars</v>
      </c>
      <c r="M20" s="30">
        <f t="shared" si="0"/>
        <v>1</v>
      </c>
      <c r="N20" s="31" t="str" cm="1">
        <f t="array" ref="N20">_xlfn.TEXTJOIN(", ",TRUE,_xlfn._xlws.FILTER(A20:A197,K20:K197=L20))</f>
        <v>A3</v>
      </c>
    </row>
    <row r="21" spans="1:14" ht="29" x14ac:dyDescent="0.35">
      <c r="A21" s="3" t="s">
        <v>11</v>
      </c>
      <c r="B21" s="3" t="s">
        <v>12</v>
      </c>
      <c r="C21" s="3">
        <v>2024</v>
      </c>
      <c r="D21" s="3" t="s">
        <v>1027</v>
      </c>
      <c r="E21" s="3" t="s">
        <v>1028</v>
      </c>
      <c r="F21" s="3" t="s">
        <v>767</v>
      </c>
      <c r="G21" s="3" t="s">
        <v>766</v>
      </c>
      <c r="H21" s="3"/>
      <c r="I21" s="3"/>
      <c r="J21" s="3"/>
      <c r="K21" s="3" t="s">
        <v>1029</v>
      </c>
      <c r="L21" s="30" t="str">
        <v>limited_customization_configuration</v>
      </c>
      <c r="M21" s="30">
        <f t="shared" si="0"/>
        <v>1</v>
      </c>
      <c r="N21" s="31" t="str" cm="1">
        <f t="array" ref="N21">_xlfn.TEXTJOIN(", ",TRUE,_xlfn._xlws.FILTER(A21:A198,K21:K198=L21))</f>
        <v>A3</v>
      </c>
    </row>
    <row r="22" spans="1:14" ht="43.5" x14ac:dyDescent="0.35">
      <c r="A22" s="3" t="s">
        <v>11</v>
      </c>
      <c r="B22" s="3" t="s">
        <v>12</v>
      </c>
      <c r="C22" s="3">
        <v>2024</v>
      </c>
      <c r="D22" s="3" t="s">
        <v>1030</v>
      </c>
      <c r="E22" s="3" t="s">
        <v>1031</v>
      </c>
      <c r="F22" s="3" t="s">
        <v>778</v>
      </c>
      <c r="G22" s="3"/>
      <c r="H22" s="3"/>
      <c r="I22" s="3"/>
      <c r="J22" s="3"/>
      <c r="K22" s="3" t="s">
        <v>1032</v>
      </c>
      <c r="L22" s="30" t="str">
        <v>framework_regulatory_constraints</v>
      </c>
      <c r="M22" s="30">
        <f t="shared" si="0"/>
        <v>1</v>
      </c>
      <c r="N22" s="31" t="str" cm="1">
        <f t="array" ref="N22">_xlfn.TEXTJOIN(", ",TRUE,_xlfn._xlws.FILTER(A22:A199,K22:K199=L22))</f>
        <v>A3</v>
      </c>
    </row>
    <row r="23" spans="1:14" ht="43.5" x14ac:dyDescent="0.35">
      <c r="A23" s="3" t="s">
        <v>11</v>
      </c>
      <c r="B23" s="3" t="s">
        <v>12</v>
      </c>
      <c r="C23" s="3">
        <v>2024</v>
      </c>
      <c r="D23" s="3" t="s">
        <v>1033</v>
      </c>
      <c r="E23" s="3" t="s">
        <v>1034</v>
      </c>
      <c r="F23" s="3" t="s">
        <v>775</v>
      </c>
      <c r="G23" s="3" t="s">
        <v>789</v>
      </c>
      <c r="H23" s="3"/>
      <c r="I23" s="3"/>
      <c r="J23" s="3"/>
      <c r="K23" s="3" t="s">
        <v>1035</v>
      </c>
      <c r="L23" s="30" t="str">
        <v>framework_selection_uncertainty</v>
      </c>
      <c r="M23" s="30">
        <f t="shared" si="0"/>
        <v>1</v>
      </c>
      <c r="N23" s="31" t="str" cm="1">
        <f t="array" ref="N23">_xlfn.TEXTJOIN(", ",TRUE,_xlfn._xlws.FILTER(A23:A200,K23:K200=L23))</f>
        <v>A3</v>
      </c>
    </row>
    <row r="24" spans="1:14" ht="29" x14ac:dyDescent="0.35">
      <c r="A24" s="3" t="s">
        <v>11</v>
      </c>
      <c r="B24" s="3" t="s">
        <v>12</v>
      </c>
      <c r="C24" s="3">
        <v>2024</v>
      </c>
      <c r="D24" s="3" t="s">
        <v>1036</v>
      </c>
      <c r="E24" s="3" t="s">
        <v>1037</v>
      </c>
      <c r="F24" s="3" t="s">
        <v>775</v>
      </c>
      <c r="G24" s="3" t="s">
        <v>789</v>
      </c>
      <c r="H24" s="3"/>
      <c r="I24" s="3"/>
      <c r="J24" s="3"/>
      <c r="K24" s="3" t="s">
        <v>1038</v>
      </c>
      <c r="L24" s="30" t="str">
        <v>lack_framework_documentation</v>
      </c>
      <c r="M24" s="30">
        <f t="shared" si="0"/>
        <v>1</v>
      </c>
      <c r="N24" s="31" t="str" cm="1">
        <f t="array" ref="N24">_xlfn.TEXTJOIN(", ",TRUE,_xlfn._xlws.FILTER(A24:A201,K24:K201=L24))</f>
        <v>A3</v>
      </c>
    </row>
    <row r="25" spans="1:14" ht="43.5" x14ac:dyDescent="0.35">
      <c r="A25" s="3" t="s">
        <v>11</v>
      </c>
      <c r="B25" s="3" t="s">
        <v>12</v>
      </c>
      <c r="C25" s="3">
        <v>2024</v>
      </c>
      <c r="D25" s="3" t="s">
        <v>1039</v>
      </c>
      <c r="E25" s="3" t="s">
        <v>1040</v>
      </c>
      <c r="F25" s="3" t="s">
        <v>767</v>
      </c>
      <c r="G25" s="3" t="s">
        <v>789</v>
      </c>
      <c r="H25" s="3"/>
      <c r="I25" s="3"/>
      <c r="J25" s="3"/>
      <c r="K25" s="3" t="s">
        <v>1041</v>
      </c>
      <c r="L25" s="30" t="str">
        <v>multitech_framework_compatibility</v>
      </c>
      <c r="M25" s="30">
        <f t="shared" si="0"/>
        <v>1</v>
      </c>
      <c r="N25" s="31" t="str" cm="1">
        <f t="array" ref="N25">_xlfn.TEXTJOIN(", ",TRUE,_xlfn._xlws.FILTER(A25:A202,K25:K202=L25))</f>
        <v>A3</v>
      </c>
    </row>
    <row r="26" spans="1:14" ht="29" x14ac:dyDescent="0.35">
      <c r="A26" s="3" t="s">
        <v>11</v>
      </c>
      <c r="B26" s="3" t="s">
        <v>12</v>
      </c>
      <c r="C26" s="3">
        <v>2024</v>
      </c>
      <c r="D26" s="3" t="s">
        <v>1042</v>
      </c>
      <c r="E26" s="3" t="s">
        <v>1043</v>
      </c>
      <c r="F26" s="3" t="s">
        <v>775</v>
      </c>
      <c r="G26" s="3"/>
      <c r="H26" s="3"/>
      <c r="I26" s="3"/>
      <c r="J26" s="3"/>
      <c r="K26" s="3" t="s">
        <v>983</v>
      </c>
      <c r="L26" s="30" t="str">
        <v>lack_testing_tools</v>
      </c>
      <c r="M26" s="30">
        <f t="shared" si="0"/>
        <v>1</v>
      </c>
      <c r="N26" s="31" t="str" cm="1">
        <f t="array" ref="N26">_xlfn.TEXTJOIN(", ",TRUE,_xlfn._xlws.FILTER(A26:A203,K26:K203=L26))</f>
        <v>A3</v>
      </c>
    </row>
    <row r="27" spans="1:14" ht="29" x14ac:dyDescent="0.35">
      <c r="A27" s="3" t="s">
        <v>11</v>
      </c>
      <c r="B27" s="3" t="s">
        <v>12</v>
      </c>
      <c r="C27" s="3">
        <v>2024</v>
      </c>
      <c r="D27" s="3" t="s">
        <v>1044</v>
      </c>
      <c r="E27" s="3" t="s">
        <v>1045</v>
      </c>
      <c r="F27" s="3" t="s">
        <v>1046</v>
      </c>
      <c r="G27" s="3" t="s">
        <v>789</v>
      </c>
      <c r="H27" s="3"/>
      <c r="I27" s="3"/>
      <c r="J27" s="3"/>
      <c r="K27" s="3" t="s">
        <v>1047</v>
      </c>
      <c r="L27" s="30" t="str">
        <v>maintenance_gaps_testing_monitoring</v>
      </c>
      <c r="M27" s="30">
        <f t="shared" si="0"/>
        <v>1</v>
      </c>
      <c r="N27" s="31" t="str" cm="1">
        <f t="array" ref="N27">_xlfn.TEXTJOIN(", ",TRUE,_xlfn._xlws.FILTER(A27:A204,K27:K204=L27))</f>
        <v>A3</v>
      </c>
    </row>
    <row r="28" spans="1:14" ht="29" x14ac:dyDescent="0.35">
      <c r="A28" s="3" t="s">
        <v>11</v>
      </c>
      <c r="B28" s="3" t="s">
        <v>12</v>
      </c>
      <c r="C28" s="3">
        <v>2024</v>
      </c>
      <c r="D28" s="3" t="s">
        <v>1048</v>
      </c>
      <c r="E28" s="3" t="s">
        <v>1049</v>
      </c>
      <c r="F28" s="3" t="s">
        <v>786</v>
      </c>
      <c r="G28" s="3"/>
      <c r="H28" s="3"/>
      <c r="I28" s="3"/>
      <c r="J28" s="3"/>
      <c r="K28" s="3" t="s">
        <v>1050</v>
      </c>
      <c r="L28" s="30" t="str">
        <v>data_scarcity_imbalance</v>
      </c>
      <c r="M28" s="30">
        <f t="shared" si="0"/>
        <v>2</v>
      </c>
      <c r="N28" s="31" t="str" cm="1">
        <f t="array" ref="N28">_xlfn.TEXTJOIN(", ",TRUE,_xlfn._xlws.FILTER(A28:A205,K28:K205=L28))</f>
        <v>A5, A5</v>
      </c>
    </row>
    <row r="29" spans="1:14" ht="43.5" x14ac:dyDescent="0.35">
      <c r="A29" s="3" t="s">
        <v>11</v>
      </c>
      <c r="B29" s="3" t="s">
        <v>12</v>
      </c>
      <c r="C29" s="3">
        <v>2024</v>
      </c>
      <c r="D29" s="3" t="s">
        <v>1051</v>
      </c>
      <c r="E29" s="3" t="s">
        <v>1052</v>
      </c>
      <c r="F29" s="3" t="s">
        <v>770</v>
      </c>
      <c r="G29" s="3"/>
      <c r="H29" s="3"/>
      <c r="I29" s="3"/>
      <c r="J29" s="3"/>
      <c r="K29" s="3" t="s">
        <v>997</v>
      </c>
      <c r="L29" s="30" t="str">
        <v>scalability_human_dependency</v>
      </c>
      <c r="M29" s="30">
        <f t="shared" si="0"/>
        <v>1</v>
      </c>
      <c r="N29" s="31" t="str" cm="1">
        <f t="array" ref="N29">_xlfn.TEXTJOIN(", ",TRUE,_xlfn._xlws.FILTER(A29:A206,K29:K206=L29))</f>
        <v>A5</v>
      </c>
    </row>
    <row r="30" spans="1:14" ht="43.5" x14ac:dyDescent="0.35">
      <c r="A30" s="3" t="s">
        <v>16</v>
      </c>
      <c r="B30" s="3" t="s">
        <v>12</v>
      </c>
      <c r="C30" s="3">
        <v>2025</v>
      </c>
      <c r="D30" s="3" t="s">
        <v>968</v>
      </c>
      <c r="E30" s="3" t="s">
        <v>1053</v>
      </c>
      <c r="F30" s="3" t="s">
        <v>770</v>
      </c>
      <c r="G30" s="3" t="s">
        <v>783</v>
      </c>
      <c r="H30" s="3"/>
      <c r="I30" s="3"/>
      <c r="J30" s="3"/>
      <c r="K30" s="3" t="s">
        <v>1054</v>
      </c>
      <c r="L30" s="30" t="str">
        <v>lack_anthropomorphism_trust</v>
      </c>
      <c r="M30" s="30">
        <f t="shared" si="0"/>
        <v>1</v>
      </c>
      <c r="N30" s="31" t="str" cm="1">
        <f t="array" ref="N30">_xlfn.TEXTJOIN(", ",TRUE,_xlfn._xlws.FILTER(A30:A207,K30:K207=L30))</f>
        <v>A5</v>
      </c>
    </row>
    <row r="31" spans="1:14" ht="29" x14ac:dyDescent="0.35">
      <c r="A31" s="3" t="s">
        <v>16</v>
      </c>
      <c r="B31" s="3" t="s">
        <v>12</v>
      </c>
      <c r="C31" s="3">
        <v>2025</v>
      </c>
      <c r="D31" s="3" t="s">
        <v>971</v>
      </c>
      <c r="E31" s="3" t="s">
        <v>1055</v>
      </c>
      <c r="F31" s="3" t="s">
        <v>775</v>
      </c>
      <c r="G31" s="3" t="s">
        <v>786</v>
      </c>
      <c r="H31" s="3"/>
      <c r="I31" s="3"/>
      <c r="J31" s="3"/>
      <c r="K31" s="3" t="s">
        <v>1056</v>
      </c>
      <c r="L31" s="30" t="str">
        <v>lack_dialogue_evaluation_metrics</v>
      </c>
      <c r="M31" s="30">
        <f t="shared" si="0"/>
        <v>1</v>
      </c>
      <c r="N31" s="31" t="str" cm="1">
        <f t="array" ref="N31">_xlfn.TEXTJOIN(", ",TRUE,_xlfn._xlws.FILTER(A31:A208,K31:K208=L31))</f>
        <v>A5</v>
      </c>
    </row>
    <row r="32" spans="1:14" x14ac:dyDescent="0.35">
      <c r="A32" s="3" t="s">
        <v>16</v>
      </c>
      <c r="B32" s="3" t="s">
        <v>12</v>
      </c>
      <c r="C32" s="3">
        <v>2025</v>
      </c>
      <c r="D32" s="3" t="s">
        <v>974</v>
      </c>
      <c r="E32" s="3" t="s">
        <v>1057</v>
      </c>
      <c r="F32" s="3" t="s">
        <v>770</v>
      </c>
      <c r="G32" s="3"/>
      <c r="H32" s="3"/>
      <c r="I32" s="3"/>
      <c r="J32" s="3"/>
      <c r="K32" s="3" t="s">
        <v>1054</v>
      </c>
      <c r="L32" s="30" t="str">
        <v>governance_ethics_standards</v>
      </c>
      <c r="M32" s="30">
        <f t="shared" si="0"/>
        <v>1</v>
      </c>
      <c r="N32" s="31" t="str" cm="1">
        <f t="array" ref="N32">_xlfn.TEXTJOIN(", ",TRUE,_xlfn._xlws.FILTER(A32:A209,K32:K209=L32))</f>
        <v>A5</v>
      </c>
    </row>
    <row r="33" spans="1:14" ht="29" x14ac:dyDescent="0.35">
      <c r="A33" s="3" t="s">
        <v>16</v>
      </c>
      <c r="B33" s="3" t="s">
        <v>12</v>
      </c>
      <c r="C33" s="3">
        <v>2025</v>
      </c>
      <c r="D33" s="3" t="s">
        <v>979</v>
      </c>
      <c r="E33" s="3" t="s">
        <v>1058</v>
      </c>
      <c r="F33" s="3" t="s">
        <v>762</v>
      </c>
      <c r="G33" s="3" t="s">
        <v>783</v>
      </c>
      <c r="H33" s="3"/>
      <c r="I33" s="3"/>
      <c r="J33" s="3"/>
      <c r="K33" s="3" t="s">
        <v>1023</v>
      </c>
      <c r="L33" s="30" t="str">
        <v>low_adoption_domain_specific</v>
      </c>
      <c r="M33" s="30">
        <f t="shared" si="0"/>
        <v>1</v>
      </c>
      <c r="N33" s="31" t="str" cm="1">
        <f t="array" ref="N33">_xlfn.TEXTJOIN(", ",TRUE,_xlfn._xlws.FILTER(A33:A210,K33:K210=L33))</f>
        <v>A6</v>
      </c>
    </row>
    <row r="34" spans="1:14" ht="29" x14ac:dyDescent="0.35">
      <c r="A34" s="3" t="s">
        <v>16</v>
      </c>
      <c r="B34" s="3" t="s">
        <v>12</v>
      </c>
      <c r="C34" s="3">
        <v>2025</v>
      </c>
      <c r="D34" s="3" t="s">
        <v>991</v>
      </c>
      <c r="E34" s="3" t="s">
        <v>1059</v>
      </c>
      <c r="F34" s="3" t="s">
        <v>767</v>
      </c>
      <c r="G34" s="3" t="s">
        <v>766</v>
      </c>
      <c r="H34" s="3"/>
      <c r="I34" s="3"/>
      <c r="J34" s="3"/>
      <c r="K34" s="3" t="s">
        <v>1060</v>
      </c>
      <c r="L34" s="30" t="str">
        <v>prototype_to_production</v>
      </c>
      <c r="M34" s="30">
        <f t="shared" si="0"/>
        <v>1</v>
      </c>
      <c r="N34" s="31" t="str" cm="1">
        <f t="array" ref="N34">_xlfn.TEXTJOIN(", ",TRUE,_xlfn._xlws.FILTER(A34:A211,K34:K211=L34))</f>
        <v>A6</v>
      </c>
    </row>
    <row r="35" spans="1:14" ht="43.5" x14ac:dyDescent="0.35">
      <c r="A35" s="3" t="s">
        <v>16</v>
      </c>
      <c r="B35" s="3" t="s">
        <v>12</v>
      </c>
      <c r="C35" s="3">
        <v>2025</v>
      </c>
      <c r="D35" s="3" t="s">
        <v>995</v>
      </c>
      <c r="E35" s="3" t="s">
        <v>1061</v>
      </c>
      <c r="F35" s="3" t="s">
        <v>759</v>
      </c>
      <c r="G35" s="3"/>
      <c r="H35" s="3"/>
      <c r="I35" s="3"/>
      <c r="J35" s="3"/>
      <c r="K35" s="3" t="s">
        <v>1062</v>
      </c>
      <c r="L35" s="30" t="str">
        <v>adaptation_specific_users</v>
      </c>
      <c r="M35" s="30">
        <f t="shared" si="0"/>
        <v>1</v>
      </c>
      <c r="N35" s="31" t="str" cm="1">
        <f t="array" ref="N35">_xlfn.TEXTJOIN(", ",TRUE,_xlfn._xlws.FILTER(A35:A212,K35:K212=L35))</f>
        <v>A6</v>
      </c>
    </row>
    <row r="36" spans="1:14" ht="43.5" x14ac:dyDescent="0.35">
      <c r="A36" s="3" t="s">
        <v>16</v>
      </c>
      <c r="B36" s="3" t="s">
        <v>12</v>
      </c>
      <c r="C36" s="3">
        <v>2025</v>
      </c>
      <c r="D36" s="3" t="s">
        <v>998</v>
      </c>
      <c r="E36" s="3" t="s">
        <v>1063</v>
      </c>
      <c r="F36" s="3" t="s">
        <v>783</v>
      </c>
      <c r="G36" s="3" t="s">
        <v>1064</v>
      </c>
      <c r="H36" s="3"/>
      <c r="I36" s="3"/>
      <c r="J36" s="3"/>
      <c r="K36" s="3" t="s">
        <v>1065</v>
      </c>
      <c r="L36" s="30" t="str">
        <v>low_user_engagement</v>
      </c>
      <c r="M36" s="30">
        <f t="shared" si="0"/>
        <v>2</v>
      </c>
      <c r="N36" s="31" t="str" cm="1">
        <f t="array" ref="N36">_xlfn.TEXTJOIN(", ",TRUE,_xlfn._xlws.FILTER(A36:A213,K36:K213=L36))</f>
        <v>A6, A6</v>
      </c>
    </row>
    <row r="37" spans="1:14" ht="43.5" x14ac:dyDescent="0.35">
      <c r="A37" s="3" t="s">
        <v>19</v>
      </c>
      <c r="B37" s="3" t="s">
        <v>12</v>
      </c>
      <c r="C37" s="3">
        <v>2022</v>
      </c>
      <c r="D37" s="3" t="s">
        <v>968</v>
      </c>
      <c r="E37" s="3" t="s">
        <v>1066</v>
      </c>
      <c r="F37" s="3" t="s">
        <v>769</v>
      </c>
      <c r="G37" s="3"/>
      <c r="H37" s="3"/>
      <c r="I37" s="3"/>
      <c r="J37" s="3"/>
      <c r="K37" s="3" t="s">
        <v>1067</v>
      </c>
      <c r="L37" s="30" t="str">
        <v>research_verbal_nonverbal_features</v>
      </c>
      <c r="M37" s="30">
        <f t="shared" si="0"/>
        <v>1</v>
      </c>
      <c r="N37" s="31" t="str" cm="1">
        <f t="array" ref="N37">_xlfn.TEXTJOIN(", ",TRUE,_xlfn._xlws.FILTER(A37:A214,K37:K214=L37))</f>
        <v>A6</v>
      </c>
    </row>
    <row r="38" spans="1:14" ht="29" x14ac:dyDescent="0.35">
      <c r="A38" s="3" t="s">
        <v>19</v>
      </c>
      <c r="B38" s="3" t="s">
        <v>12</v>
      </c>
      <c r="C38" s="3">
        <v>2022</v>
      </c>
      <c r="D38" s="3" t="s">
        <v>971</v>
      </c>
      <c r="E38" s="3" t="s">
        <v>1068</v>
      </c>
      <c r="F38" s="3" t="s">
        <v>786</v>
      </c>
      <c r="G38" s="3"/>
      <c r="H38" s="3"/>
      <c r="I38" s="3"/>
      <c r="J38" s="3"/>
      <c r="K38" s="3" t="s">
        <v>1069</v>
      </c>
      <c r="L38" s="30" t="str">
        <v>personalization_user_profiling_context</v>
      </c>
      <c r="M38" s="30">
        <f t="shared" si="0"/>
        <v>13</v>
      </c>
      <c r="N38" s="31" t="str" cm="1">
        <f t="array" ref="N38">_xlfn.TEXTJOIN(", ",TRUE,_xlfn._xlws.FILTER(A38:A215,K38:K215=L38))</f>
        <v>A6, A6, A6, A6, B3, B3, B3, B3, B4, B5, B15, C3, C3</v>
      </c>
    </row>
    <row r="39" spans="1:14" ht="43.5" x14ac:dyDescent="0.35">
      <c r="A39" s="3" t="s">
        <v>19</v>
      </c>
      <c r="B39" s="3" t="s">
        <v>12</v>
      </c>
      <c r="C39" s="3">
        <v>2022</v>
      </c>
      <c r="D39" s="3" t="s">
        <v>974</v>
      </c>
      <c r="E39" s="3" t="s">
        <v>1070</v>
      </c>
      <c r="F39" s="3" t="s">
        <v>987</v>
      </c>
      <c r="G39" s="3" t="s">
        <v>783</v>
      </c>
      <c r="H39" s="3"/>
      <c r="I39" s="3"/>
      <c r="J39" s="3"/>
      <c r="K39" s="3" t="s">
        <v>1071</v>
      </c>
      <c r="L39" s="30" t="str">
        <v>specific_domain_data_scarcity</v>
      </c>
      <c r="M39" s="30">
        <f t="shared" si="0"/>
        <v>1</v>
      </c>
      <c r="N39" s="31" t="str" cm="1">
        <f t="array" ref="N39">_xlfn.TEXTJOIN(", ",TRUE,_xlfn._xlws.FILTER(A39:A216,K39:K216=L39))</f>
        <v>A6</v>
      </c>
    </row>
    <row r="40" spans="1:14" ht="43.5" x14ac:dyDescent="0.35">
      <c r="A40" s="3" t="s">
        <v>19</v>
      </c>
      <c r="B40" s="3" t="s">
        <v>12</v>
      </c>
      <c r="C40" s="3">
        <v>2022</v>
      </c>
      <c r="D40" s="3" t="s">
        <v>979</v>
      </c>
      <c r="E40" s="3" t="s">
        <v>1072</v>
      </c>
      <c r="F40" s="3" t="s">
        <v>766</v>
      </c>
      <c r="G40" s="3"/>
      <c r="H40" s="3"/>
      <c r="I40" s="3"/>
      <c r="J40" s="3"/>
      <c r="K40" s="3" t="s">
        <v>1073</v>
      </c>
      <c r="L40" s="30" t="str">
        <v>data_repository_taxonomy</v>
      </c>
      <c r="M40" s="30">
        <f t="shared" si="0"/>
        <v>1</v>
      </c>
      <c r="N40" s="31" t="str" cm="1">
        <f t="array" ref="N40">_xlfn.TEXTJOIN(", ",TRUE,_xlfn._xlws.FILTER(A40:A217,K40:K217=L40))</f>
        <v>A6</v>
      </c>
    </row>
    <row r="41" spans="1:14" ht="43.5" x14ac:dyDescent="0.35">
      <c r="A41" s="3" t="s">
        <v>19</v>
      </c>
      <c r="B41" s="3" t="s">
        <v>12</v>
      </c>
      <c r="C41" s="3">
        <v>2022</v>
      </c>
      <c r="D41" s="3" t="s">
        <v>991</v>
      </c>
      <c r="E41" s="3" t="s">
        <v>1074</v>
      </c>
      <c r="F41" s="3" t="s">
        <v>766</v>
      </c>
      <c r="G41" s="3" t="s">
        <v>762</v>
      </c>
      <c r="H41" s="3"/>
      <c r="I41" s="3"/>
      <c r="J41" s="3"/>
      <c r="K41" s="3" t="s">
        <v>1073</v>
      </c>
      <c r="L41" s="30" t="str">
        <v>user_evaluation</v>
      </c>
      <c r="M41" s="30">
        <f t="shared" si="0"/>
        <v>11</v>
      </c>
      <c r="N41" s="31" t="str" cm="1">
        <f t="array" ref="N41">_xlfn.TEXTJOIN(", ",TRUE,_xlfn._xlws.FILTER(A41:A218,K41:K218=L41))</f>
        <v>A6, A6, A6, A6, A6, B3, B11, B13, B13, B21, C2</v>
      </c>
    </row>
    <row r="42" spans="1:14" ht="58" x14ac:dyDescent="0.35">
      <c r="A42" s="3" t="s">
        <v>19</v>
      </c>
      <c r="B42" s="3" t="s">
        <v>12</v>
      </c>
      <c r="C42" s="3">
        <v>2022</v>
      </c>
      <c r="D42" s="3" t="s">
        <v>995</v>
      </c>
      <c r="E42" s="3" t="s">
        <v>1075</v>
      </c>
      <c r="F42" s="3" t="s">
        <v>766</v>
      </c>
      <c r="G42" s="3"/>
      <c r="H42" s="3"/>
      <c r="I42" s="3"/>
      <c r="J42" s="3"/>
      <c r="K42" s="3" t="s">
        <v>1076</v>
      </c>
      <c r="L42" s="30" t="str">
        <v>formal_assurance_design</v>
      </c>
      <c r="M42" s="30">
        <f t="shared" si="0"/>
        <v>5</v>
      </c>
      <c r="N42" s="31" t="str" cm="1">
        <f t="array" ref="N42">_xlfn.TEXTJOIN(", ",TRUE,_xlfn._xlws.FILTER(A42:A219,K42:K219=L42))</f>
        <v>A7, A7, A7, A7, A7</v>
      </c>
    </row>
    <row r="43" spans="1:14" ht="43.5" x14ac:dyDescent="0.35">
      <c r="A43" s="3" t="s">
        <v>19</v>
      </c>
      <c r="B43" s="3" t="s">
        <v>12</v>
      </c>
      <c r="C43" s="3">
        <v>2022</v>
      </c>
      <c r="D43" s="3" t="s">
        <v>998</v>
      </c>
      <c r="E43" s="3" t="s">
        <v>1077</v>
      </c>
      <c r="F43" s="3" t="s">
        <v>766</v>
      </c>
      <c r="G43" s="3" t="s">
        <v>767</v>
      </c>
      <c r="H43" s="3" t="s">
        <v>772</v>
      </c>
      <c r="I43" s="3"/>
      <c r="J43" s="3"/>
      <c r="K43" s="3" t="s">
        <v>1078</v>
      </c>
      <c r="L43" s="30" t="str">
        <v>negative_user_experience_factors</v>
      </c>
      <c r="M43" s="30">
        <f t="shared" si="0"/>
        <v>2</v>
      </c>
      <c r="N43" s="31" t="str" cm="1">
        <f t="array" ref="N43">_xlfn.TEXTJOIN(", ",TRUE,_xlfn._xlws.FILTER(A43:A220,K43:K220=L43))</f>
        <v>B1, C1</v>
      </c>
    </row>
    <row r="44" spans="1:14" ht="43.5" x14ac:dyDescent="0.35">
      <c r="A44" s="3" t="s">
        <v>19</v>
      </c>
      <c r="B44" s="3" t="s">
        <v>12</v>
      </c>
      <c r="C44" s="3">
        <v>2022</v>
      </c>
      <c r="D44" s="3" t="s">
        <v>1001</v>
      </c>
      <c r="E44" s="3" t="s">
        <v>1079</v>
      </c>
      <c r="F44" s="3" t="s">
        <v>767</v>
      </c>
      <c r="G44" s="3" t="s">
        <v>775</v>
      </c>
      <c r="H44" s="3"/>
      <c r="I44" s="3"/>
      <c r="J44" s="3"/>
      <c r="K44" s="3" t="s">
        <v>1078</v>
      </c>
      <c r="L44" s="30" t="str">
        <v>design_interaction_research</v>
      </c>
      <c r="M44" s="30">
        <f t="shared" si="0"/>
        <v>3</v>
      </c>
      <c r="N44" s="31" t="str" cm="1">
        <f t="array" ref="N44">_xlfn.TEXTJOIN(", ",TRUE,_xlfn._xlws.FILTER(A44:A221,K44:K221=L44))</f>
        <v>B1, B1, B4</v>
      </c>
    </row>
    <row r="45" spans="1:14" ht="43.5" x14ac:dyDescent="0.35">
      <c r="A45" s="3" t="s">
        <v>19</v>
      </c>
      <c r="B45" s="3" t="s">
        <v>12</v>
      </c>
      <c r="C45" s="3">
        <v>2022</v>
      </c>
      <c r="D45" s="3" t="s">
        <v>1005</v>
      </c>
      <c r="E45" s="3" t="s">
        <v>1080</v>
      </c>
      <c r="F45" s="3" t="s">
        <v>767</v>
      </c>
      <c r="G45" s="3" t="s">
        <v>775</v>
      </c>
      <c r="H45" s="3"/>
      <c r="I45" s="3"/>
      <c r="J45" s="3"/>
      <c r="K45" s="3" t="s">
        <v>1078</v>
      </c>
      <c r="L45" s="30" t="str">
        <v>human_like_interaction_cues</v>
      </c>
      <c r="M45" s="30">
        <f t="shared" si="0"/>
        <v>5</v>
      </c>
      <c r="N45" s="31" t="str" cm="1">
        <f t="array" ref="N45">_xlfn.TEXTJOIN(", ",TRUE,_xlfn._xlws.FILTER(A45:A222,K45:K222=L45))</f>
        <v>B1, B4, B5, B25, C3</v>
      </c>
    </row>
    <row r="46" spans="1:14" ht="43.5" x14ac:dyDescent="0.35">
      <c r="A46" s="3" t="s">
        <v>19</v>
      </c>
      <c r="B46" s="3" t="s">
        <v>12</v>
      </c>
      <c r="C46" s="3">
        <v>2022</v>
      </c>
      <c r="D46" s="3" t="s">
        <v>1009</v>
      </c>
      <c r="E46" s="3" t="s">
        <v>1081</v>
      </c>
      <c r="F46" s="3" t="s">
        <v>767</v>
      </c>
      <c r="G46" s="3" t="s">
        <v>775</v>
      </c>
      <c r="H46" s="3"/>
      <c r="I46" s="3"/>
      <c r="J46" s="3"/>
      <c r="K46" s="3" t="s">
        <v>1078</v>
      </c>
      <c r="L46" s="30" t="str">
        <v>ethics_privacy_development</v>
      </c>
      <c r="M46" s="30">
        <f t="shared" si="0"/>
        <v>12</v>
      </c>
      <c r="N46" s="31" t="str" cm="1">
        <f t="array" ref="N46">_xlfn.TEXTJOIN(", ",TRUE,_xlfn._xlws.FILTER(A46:A223,K46:K223=L46))</f>
        <v>B1, B1, B4, B4, B11, B12, B19, B20, B25, B26, B26, C3</v>
      </c>
    </row>
    <row r="47" spans="1:14" ht="43.5" x14ac:dyDescent="0.35">
      <c r="A47" s="3" t="s">
        <v>19</v>
      </c>
      <c r="B47" s="3" t="s">
        <v>12</v>
      </c>
      <c r="C47" s="3">
        <v>2022</v>
      </c>
      <c r="D47" s="3" t="s">
        <v>1012</v>
      </c>
      <c r="E47" s="3" t="s">
        <v>1082</v>
      </c>
      <c r="F47" s="3" t="s">
        <v>770</v>
      </c>
      <c r="G47" s="3"/>
      <c r="H47" s="3"/>
      <c r="I47" s="3"/>
      <c r="J47" s="3"/>
      <c r="K47" s="3" t="s">
        <v>1083</v>
      </c>
      <c r="L47" s="30" t="str">
        <v>lack_transparency</v>
      </c>
      <c r="M47" s="30">
        <f t="shared" si="0"/>
        <v>1</v>
      </c>
      <c r="N47" s="31" t="str" cm="1">
        <f t="array" ref="N47">_xlfn.TEXTJOIN(", ",TRUE,_xlfn._xlws.FILTER(A47:A224,K47:K224=L47))</f>
        <v>B2</v>
      </c>
    </row>
    <row r="48" spans="1:14" ht="43.5" x14ac:dyDescent="0.35">
      <c r="A48" s="3" t="s">
        <v>19</v>
      </c>
      <c r="B48" s="3" t="s">
        <v>12</v>
      </c>
      <c r="C48" s="3">
        <v>2022</v>
      </c>
      <c r="D48" s="3" t="s">
        <v>1015</v>
      </c>
      <c r="E48" s="3" t="s">
        <v>1084</v>
      </c>
      <c r="F48" s="3" t="s">
        <v>756</v>
      </c>
      <c r="G48" s="3" t="s">
        <v>770</v>
      </c>
      <c r="H48" s="3"/>
      <c r="I48" s="3"/>
      <c r="J48" s="3"/>
      <c r="K48" s="3" t="s">
        <v>1085</v>
      </c>
      <c r="L48" s="30" t="str">
        <v>hallucinations_reliability_issues</v>
      </c>
      <c r="M48" s="30">
        <f t="shared" si="0"/>
        <v>1</v>
      </c>
      <c r="N48" s="31" t="str" cm="1">
        <f t="array" ref="N48">_xlfn.TEXTJOIN(", ",TRUE,_xlfn._xlws.FILTER(A48:A225,K48:K225=L48))</f>
        <v>B2</v>
      </c>
    </row>
    <row r="49" spans="1:14" ht="43.5" x14ac:dyDescent="0.35">
      <c r="A49" s="3" t="s">
        <v>19</v>
      </c>
      <c r="B49" s="3" t="s">
        <v>12</v>
      </c>
      <c r="C49" s="3">
        <v>2022</v>
      </c>
      <c r="D49" s="3" t="s">
        <v>1018</v>
      </c>
      <c r="E49" s="3" t="s">
        <v>1086</v>
      </c>
      <c r="F49" s="3" t="s">
        <v>759</v>
      </c>
      <c r="G49" s="3" t="s">
        <v>977</v>
      </c>
      <c r="H49" s="3"/>
      <c r="I49" s="3"/>
      <c r="J49" s="3"/>
      <c r="K49" s="3" t="s">
        <v>1087</v>
      </c>
      <c r="L49" s="30" t="str">
        <v>multimodal_integration</v>
      </c>
      <c r="M49" s="30">
        <f t="shared" si="0"/>
        <v>3</v>
      </c>
      <c r="N49" s="31" t="str" cm="1">
        <f t="array" ref="N49">_xlfn.TEXTJOIN(", ",TRUE,_xlfn._xlws.FILTER(A49:A226,K49:K226=L49))</f>
        <v>B2, B16, C3</v>
      </c>
    </row>
    <row r="50" spans="1:14" ht="43.5" x14ac:dyDescent="0.35">
      <c r="A50" s="3" t="s">
        <v>19</v>
      </c>
      <c r="B50" s="3" t="s">
        <v>12</v>
      </c>
      <c r="C50" s="3">
        <v>2022</v>
      </c>
      <c r="D50" s="3" t="s">
        <v>1021</v>
      </c>
      <c r="E50" s="3" t="s">
        <v>1088</v>
      </c>
      <c r="F50" s="3" t="s">
        <v>759</v>
      </c>
      <c r="G50" s="3" t="s">
        <v>977</v>
      </c>
      <c r="H50" s="3"/>
      <c r="I50" s="3"/>
      <c r="J50" s="3"/>
      <c r="K50" s="3" t="s">
        <v>1087</v>
      </c>
      <c r="L50" s="30" t="str">
        <v>adaptative_quality_evaluation</v>
      </c>
      <c r="M50" s="30">
        <f t="shared" si="0"/>
        <v>1</v>
      </c>
      <c r="N50" s="31" t="str" cm="1">
        <f t="array" ref="N50">_xlfn.TEXTJOIN(", ",TRUE,_xlfn._xlws.FILTER(A50:A227,K50:K227=L50))</f>
        <v>B3</v>
      </c>
    </row>
    <row r="51" spans="1:14" ht="29" x14ac:dyDescent="0.35">
      <c r="A51" s="3" t="s">
        <v>19</v>
      </c>
      <c r="B51" s="3" t="s">
        <v>12</v>
      </c>
      <c r="C51" s="3">
        <v>2022</v>
      </c>
      <c r="D51" s="3" t="s">
        <v>1024</v>
      </c>
      <c r="E51" s="3" t="s">
        <v>1089</v>
      </c>
      <c r="F51" s="3" t="s">
        <v>759</v>
      </c>
      <c r="G51" s="3" t="s">
        <v>756</v>
      </c>
      <c r="H51" s="3"/>
      <c r="I51" s="3"/>
      <c r="J51" s="3"/>
      <c r="K51" s="3" t="s">
        <v>1087</v>
      </c>
      <c r="L51" s="30" t="str">
        <v>low_problem_solving_capacity</v>
      </c>
      <c r="M51" s="30">
        <f t="shared" si="0"/>
        <v>1</v>
      </c>
      <c r="N51" s="31" t="str" cm="1">
        <f t="array" ref="N51">_xlfn.TEXTJOIN(", ",TRUE,_xlfn._xlws.FILTER(A51:A228,K51:K228=L51))</f>
        <v>B4</v>
      </c>
    </row>
    <row r="52" spans="1:14" ht="43.5" x14ac:dyDescent="0.35">
      <c r="A52" s="3" t="s">
        <v>19</v>
      </c>
      <c r="B52" s="3" t="s">
        <v>12</v>
      </c>
      <c r="C52" s="3">
        <v>2022</v>
      </c>
      <c r="D52" s="3" t="s">
        <v>1027</v>
      </c>
      <c r="E52" s="3" t="s">
        <v>1090</v>
      </c>
      <c r="F52" s="3" t="s">
        <v>759</v>
      </c>
      <c r="G52" s="3" t="s">
        <v>786</v>
      </c>
      <c r="H52" s="3"/>
      <c r="I52" s="3"/>
      <c r="J52" s="3"/>
      <c r="K52" s="3" t="s">
        <v>1087</v>
      </c>
      <c r="L52" s="30" t="str">
        <v>usability_issues</v>
      </c>
      <c r="M52" s="30">
        <f t="shared" si="0"/>
        <v>2</v>
      </c>
      <c r="N52" s="31" t="str" cm="1">
        <f t="array" ref="N52">_xlfn.TEXTJOIN(", ",TRUE,_xlfn._xlws.FILTER(A52:A229,K52:K229=L52))</f>
        <v>B4, B17</v>
      </c>
    </row>
    <row r="53" spans="1:14" ht="29" x14ac:dyDescent="0.35">
      <c r="A53" s="3" t="s">
        <v>19</v>
      </c>
      <c r="B53" s="3" t="s">
        <v>12</v>
      </c>
      <c r="C53" s="3">
        <v>2022</v>
      </c>
      <c r="D53" s="3" t="s">
        <v>1030</v>
      </c>
      <c r="E53" s="3" t="s">
        <v>1091</v>
      </c>
      <c r="F53" s="3" t="s">
        <v>759</v>
      </c>
      <c r="G53" s="3" t="s">
        <v>775</v>
      </c>
      <c r="H53" s="3"/>
      <c r="I53" s="3"/>
      <c r="J53" s="3"/>
      <c r="K53" s="3" t="s">
        <v>1087</v>
      </c>
      <c r="L53" s="30" t="str">
        <v>development_technical_challenges</v>
      </c>
      <c r="M53" s="30">
        <f t="shared" si="0"/>
        <v>5</v>
      </c>
      <c r="N53" s="31" t="str" cm="1">
        <f t="array" ref="N53">_xlfn.TEXTJOIN(", ",TRUE,_xlfn._xlws.FILTER(A53:A230,K53:K230=L53))</f>
        <v>B4, B5, B16, B20, C3</v>
      </c>
    </row>
    <row r="54" spans="1:14" ht="43.5" x14ac:dyDescent="0.35">
      <c r="A54" s="3" t="s">
        <v>22</v>
      </c>
      <c r="B54" s="3" t="s">
        <v>1477</v>
      </c>
      <c r="C54" s="3">
        <v>2019</v>
      </c>
      <c r="D54" s="3" t="s">
        <v>968</v>
      </c>
      <c r="E54" s="3" t="s">
        <v>1092</v>
      </c>
      <c r="F54" s="3" t="s">
        <v>762</v>
      </c>
      <c r="G54" s="3" t="s">
        <v>783</v>
      </c>
      <c r="H54" s="3"/>
      <c r="I54" s="3"/>
      <c r="J54" s="3"/>
      <c r="K54" s="3" t="s">
        <v>1093</v>
      </c>
      <c r="L54" s="30" t="str">
        <v>cultural_community_adaptation</v>
      </c>
      <c r="M54" s="30">
        <f t="shared" si="0"/>
        <v>1</v>
      </c>
      <c r="N54" s="31" t="str" cm="1">
        <f t="array" ref="N54">_xlfn.TEXTJOIN(", ",TRUE,_xlfn._xlws.FILTER(A54:A231,K54:K231=L54))</f>
        <v>B4</v>
      </c>
    </row>
    <row r="55" spans="1:14" ht="43.5" x14ac:dyDescent="0.35">
      <c r="A55" s="3" t="s">
        <v>22</v>
      </c>
      <c r="B55" s="3" t="s">
        <v>1477</v>
      </c>
      <c r="C55" s="3">
        <v>2019</v>
      </c>
      <c r="D55" s="3" t="s">
        <v>971</v>
      </c>
      <c r="E55" s="3" t="s">
        <v>1094</v>
      </c>
      <c r="F55" s="3" t="s">
        <v>762</v>
      </c>
      <c r="G55" s="3" t="s">
        <v>783</v>
      </c>
      <c r="H55" s="3"/>
      <c r="I55" s="3"/>
      <c r="J55" s="3"/>
      <c r="K55" s="3" t="s">
        <v>1093</v>
      </c>
      <c r="L55" s="30" t="str">
        <v>LLM_integration_development</v>
      </c>
      <c r="M55" s="30">
        <f t="shared" si="0"/>
        <v>2</v>
      </c>
      <c r="N55" s="31" t="str" cm="1">
        <f t="array" ref="N55">_xlfn.TEXTJOIN(", ",TRUE,_xlfn._xlws.FILTER(A55:A232,K55:K232=L55))</f>
        <v>B4, B6</v>
      </c>
    </row>
    <row r="56" spans="1:14" ht="43.5" x14ac:dyDescent="0.35">
      <c r="A56" s="3" t="s">
        <v>22</v>
      </c>
      <c r="B56" s="3" t="s">
        <v>1477</v>
      </c>
      <c r="C56" s="3">
        <v>2019</v>
      </c>
      <c r="D56" s="3" t="s">
        <v>974</v>
      </c>
      <c r="E56" s="3" t="s">
        <v>1095</v>
      </c>
      <c r="F56" s="3" t="s">
        <v>762</v>
      </c>
      <c r="G56" s="3" t="s">
        <v>756</v>
      </c>
      <c r="H56" s="3"/>
      <c r="I56" s="3"/>
      <c r="J56" s="3"/>
      <c r="K56" s="3" t="s">
        <v>1093</v>
      </c>
      <c r="L56" s="30" t="str">
        <v>language_processing_issues</v>
      </c>
      <c r="M56" s="30">
        <f t="shared" si="0"/>
        <v>1</v>
      </c>
      <c r="N56" s="31" t="str" cm="1">
        <f t="array" ref="N56">_xlfn.TEXTJOIN(", ",TRUE,_xlfn._xlws.FILTER(A56:A233,K56:K233=L56))</f>
        <v>B5</v>
      </c>
    </row>
    <row r="57" spans="1:14" ht="58" x14ac:dyDescent="0.35">
      <c r="A57" s="3" t="s">
        <v>22</v>
      </c>
      <c r="B57" s="3" t="s">
        <v>1477</v>
      </c>
      <c r="C57" s="3">
        <v>2019</v>
      </c>
      <c r="D57" s="3" t="s">
        <v>979</v>
      </c>
      <c r="E57" s="3" t="s">
        <v>1096</v>
      </c>
      <c r="F57" s="3" t="s">
        <v>762</v>
      </c>
      <c r="G57" s="3" t="s">
        <v>756</v>
      </c>
      <c r="H57" s="3"/>
      <c r="I57" s="3"/>
      <c r="J57" s="3"/>
      <c r="K57" s="3" t="s">
        <v>1093</v>
      </c>
      <c r="L57" s="30" t="str">
        <v>user_motivation</v>
      </c>
      <c r="M57" s="30">
        <f t="shared" si="0"/>
        <v>1</v>
      </c>
      <c r="N57" s="31" t="str" cm="1">
        <f t="array" ref="N57">_xlfn.TEXTJOIN(", ",TRUE,_xlfn._xlws.FILTER(A57:A234,K57:K234=L57))</f>
        <v>B7</v>
      </c>
    </row>
    <row r="58" spans="1:14" ht="29" x14ac:dyDescent="0.35">
      <c r="A58" s="3" t="s">
        <v>22</v>
      </c>
      <c r="B58" s="3" t="s">
        <v>1477</v>
      </c>
      <c r="C58" s="3">
        <v>2019</v>
      </c>
      <c r="D58" s="3" t="s">
        <v>991</v>
      </c>
      <c r="E58" s="3" t="s">
        <v>1097</v>
      </c>
      <c r="F58" s="3" t="s">
        <v>762</v>
      </c>
      <c r="G58" s="3" t="s">
        <v>977</v>
      </c>
      <c r="H58" s="3"/>
      <c r="I58" s="3"/>
      <c r="J58" s="3"/>
      <c r="K58" s="3" t="s">
        <v>1014</v>
      </c>
      <c r="L58" s="30" t="str">
        <v>lack_practical_evidence</v>
      </c>
      <c r="M58" s="30">
        <f t="shared" si="0"/>
        <v>1</v>
      </c>
      <c r="N58" s="31" t="str" cm="1">
        <f t="array" ref="N58">_xlfn.TEXTJOIN(", ",TRUE,_xlfn._xlws.FILTER(A58:A235,K58:K235=L58))</f>
        <v>B10</v>
      </c>
    </row>
    <row r="59" spans="1:14" ht="43.5" x14ac:dyDescent="0.35">
      <c r="A59" s="3" t="s">
        <v>22</v>
      </c>
      <c r="B59" s="3" t="s">
        <v>1477</v>
      </c>
      <c r="C59" s="3">
        <v>2019</v>
      </c>
      <c r="D59" s="3" t="s">
        <v>995</v>
      </c>
      <c r="E59" s="3" t="s">
        <v>1098</v>
      </c>
      <c r="F59" s="3" t="s">
        <v>762</v>
      </c>
      <c r="G59" s="3" t="s">
        <v>977</v>
      </c>
      <c r="H59" s="3"/>
      <c r="I59" s="3"/>
      <c r="J59" s="3"/>
      <c r="K59" s="3" t="s">
        <v>1093</v>
      </c>
      <c r="L59" s="30" t="str">
        <v>education_implementation_challenges</v>
      </c>
      <c r="M59" s="30">
        <f t="shared" si="0"/>
        <v>3</v>
      </c>
      <c r="N59" s="31" t="str" cm="1">
        <f t="array" ref="N59">_xlfn.TEXTJOIN(", ",TRUE,_xlfn._xlws.FILTER(A59:A236,K59:K236=L59))</f>
        <v>B11, B11, B11</v>
      </c>
    </row>
    <row r="60" spans="1:14" ht="43.5" x14ac:dyDescent="0.35">
      <c r="A60" s="3" t="s">
        <v>22</v>
      </c>
      <c r="B60" s="3" t="s">
        <v>1477</v>
      </c>
      <c r="C60" s="3">
        <v>2019</v>
      </c>
      <c r="D60" s="3" t="s">
        <v>998</v>
      </c>
      <c r="E60" s="3" t="s">
        <v>1099</v>
      </c>
      <c r="F60" s="3" t="s">
        <v>762</v>
      </c>
      <c r="G60" s="3" t="s">
        <v>977</v>
      </c>
      <c r="H60" s="3"/>
      <c r="I60" s="3"/>
      <c r="J60" s="3"/>
      <c r="K60" s="3" t="s">
        <v>1014</v>
      </c>
      <c r="L60" s="30" t="str">
        <v>long_term_impact</v>
      </c>
      <c r="M60" s="30">
        <f t="shared" si="0"/>
        <v>4</v>
      </c>
      <c r="N60" s="31" t="str" cm="1">
        <f t="array" ref="N60">_xlfn.TEXTJOIN(", ",TRUE,_xlfn._xlws.FILTER(A60:A237,K60:K237=L60))</f>
        <v>B11, B11, B13, B25</v>
      </c>
    </row>
    <row r="61" spans="1:14" ht="43.5" x14ac:dyDescent="0.35">
      <c r="A61" s="3" t="s">
        <v>25</v>
      </c>
      <c r="B61" s="3" t="s">
        <v>12</v>
      </c>
      <c r="C61" s="3">
        <v>2023</v>
      </c>
      <c r="D61" s="3" t="s">
        <v>968</v>
      </c>
      <c r="E61" s="3" t="s">
        <v>1100</v>
      </c>
      <c r="F61" s="3" t="s">
        <v>766</v>
      </c>
      <c r="G61" s="3"/>
      <c r="H61" s="3"/>
      <c r="I61" s="3"/>
      <c r="J61" s="3"/>
      <c r="K61" s="3" t="s">
        <v>1101</v>
      </c>
      <c r="L61" s="30" t="str">
        <v>digital_access_gap</v>
      </c>
      <c r="M61" s="30">
        <f t="shared" si="0"/>
        <v>2</v>
      </c>
      <c r="N61" s="31" t="str" cm="1">
        <f t="array" ref="N61">_xlfn.TEXTJOIN(", ",TRUE,_xlfn._xlws.FILTER(A61:A238,K61:K238=L61))</f>
        <v>B12, C2</v>
      </c>
    </row>
    <row r="62" spans="1:14" ht="43.5" x14ac:dyDescent="0.35">
      <c r="A62" s="3" t="s">
        <v>25</v>
      </c>
      <c r="B62" s="3" t="s">
        <v>12</v>
      </c>
      <c r="C62" s="3">
        <v>2023</v>
      </c>
      <c r="D62" s="3" t="s">
        <v>971</v>
      </c>
      <c r="E62" s="3" t="s">
        <v>1102</v>
      </c>
      <c r="F62" s="3" t="s">
        <v>767</v>
      </c>
      <c r="G62" s="3" t="s">
        <v>766</v>
      </c>
      <c r="H62" s="3"/>
      <c r="I62" s="3"/>
      <c r="J62" s="3"/>
      <c r="K62" s="3" t="s">
        <v>1103</v>
      </c>
      <c r="L62" s="30" t="str">
        <v>sample_representativeness</v>
      </c>
      <c r="M62" s="30">
        <f t="shared" si="0"/>
        <v>1</v>
      </c>
      <c r="N62" s="31" t="str" cm="1">
        <f t="array" ref="N62">_xlfn.TEXTJOIN(", ",TRUE,_xlfn._xlws.FILTER(A62:A239,K62:K239=L62))</f>
        <v>B13</v>
      </c>
    </row>
    <row r="63" spans="1:14" ht="43.5" x14ac:dyDescent="0.35">
      <c r="A63" s="3" t="s">
        <v>25</v>
      </c>
      <c r="B63" s="3" t="s">
        <v>12</v>
      </c>
      <c r="C63" s="3">
        <v>2023</v>
      </c>
      <c r="D63" s="3" t="s">
        <v>974</v>
      </c>
      <c r="E63" s="3" t="s">
        <v>1104</v>
      </c>
      <c r="F63" s="3" t="s">
        <v>769</v>
      </c>
      <c r="G63" s="3" t="s">
        <v>1105</v>
      </c>
      <c r="H63" s="3"/>
      <c r="I63" s="3"/>
      <c r="J63" s="3"/>
      <c r="K63" s="3" t="s">
        <v>1103</v>
      </c>
      <c r="L63" s="30" t="str">
        <v>research_design_rigour</v>
      </c>
      <c r="M63" s="30">
        <f t="shared" si="0"/>
        <v>1</v>
      </c>
      <c r="N63" s="31" t="str" cm="1">
        <f t="array" ref="N63">_xlfn.TEXTJOIN(", ",TRUE,_xlfn._xlws.FILTER(A63:A240,K63:K240=L63))</f>
        <v>B13</v>
      </c>
    </row>
    <row r="64" spans="1:14" ht="29" x14ac:dyDescent="0.35">
      <c r="A64" s="3" t="s">
        <v>25</v>
      </c>
      <c r="B64" s="3" t="s">
        <v>12</v>
      </c>
      <c r="C64" s="3">
        <v>2023</v>
      </c>
      <c r="D64" s="3" t="s">
        <v>979</v>
      </c>
      <c r="E64" s="3" t="s">
        <v>1106</v>
      </c>
      <c r="F64" s="3" t="s">
        <v>767</v>
      </c>
      <c r="G64" s="3" t="s">
        <v>766</v>
      </c>
      <c r="H64" s="3"/>
      <c r="I64" s="3"/>
      <c r="J64" s="3"/>
      <c r="K64" s="3" t="s">
        <v>1107</v>
      </c>
      <c r="L64" s="30" t="str">
        <v>measurement_validity</v>
      </c>
      <c r="M64" s="30">
        <f t="shared" si="0"/>
        <v>1</v>
      </c>
      <c r="N64" s="31" t="str" cm="1">
        <f t="array" ref="N64">_xlfn.TEXTJOIN(", ",TRUE,_xlfn._xlws.FILTER(A64:A241,K64:K241=L64))</f>
        <v>B13</v>
      </c>
    </row>
    <row r="65" spans="1:14" ht="29" x14ac:dyDescent="0.35">
      <c r="A65" s="3" t="s">
        <v>25</v>
      </c>
      <c r="B65" s="3" t="s">
        <v>12</v>
      </c>
      <c r="C65" s="3">
        <v>2023</v>
      </c>
      <c r="D65" s="3" t="s">
        <v>991</v>
      </c>
      <c r="E65" s="3" t="s">
        <v>1108</v>
      </c>
      <c r="F65" s="3" t="s">
        <v>762</v>
      </c>
      <c r="G65" s="3" t="s">
        <v>783</v>
      </c>
      <c r="H65" s="3"/>
      <c r="I65" s="3"/>
      <c r="J65" s="3"/>
      <c r="K65" s="3" t="s">
        <v>1109</v>
      </c>
      <c r="L65" s="30" t="str">
        <v>long_term_implementation_scalability</v>
      </c>
      <c r="M65" s="30">
        <f t="shared" si="0"/>
        <v>1</v>
      </c>
      <c r="N65" s="31" t="str" cm="1">
        <f t="array" ref="N65">_xlfn.TEXTJOIN(", ",TRUE,_xlfn._xlws.FILTER(A65:A242,K65:K242=L65))</f>
        <v>B13</v>
      </c>
    </row>
    <row r="66" spans="1:14" ht="29" x14ac:dyDescent="0.35">
      <c r="A66" s="3" t="s">
        <v>25</v>
      </c>
      <c r="B66" s="3" t="s">
        <v>12</v>
      </c>
      <c r="C66" s="3">
        <v>2023</v>
      </c>
      <c r="D66" s="3" t="s">
        <v>995</v>
      </c>
      <c r="E66" s="3" t="s">
        <v>1110</v>
      </c>
      <c r="F66" s="3" t="s">
        <v>977</v>
      </c>
      <c r="G66" s="3" t="s">
        <v>783</v>
      </c>
      <c r="H66" s="3"/>
      <c r="I66" s="3"/>
      <c r="J66" s="3"/>
      <c r="K66" s="3" t="s">
        <v>1109</v>
      </c>
      <c r="L66" s="30" t="str">
        <v>conversational_context_optimization</v>
      </c>
      <c r="M66" s="30">
        <f t="shared" si="0"/>
        <v>1</v>
      </c>
      <c r="N66" s="31" t="str" cm="1">
        <f t="array" ref="N66">_xlfn.TEXTJOIN(", ",TRUE,_xlfn._xlws.FILTER(A66:A243,K66:K243=L66))</f>
        <v>B15</v>
      </c>
    </row>
    <row r="67" spans="1:14" ht="58" x14ac:dyDescent="0.35">
      <c r="A67" s="3" t="s">
        <v>30</v>
      </c>
      <c r="B67" s="3" t="s">
        <v>12</v>
      </c>
      <c r="C67" s="3">
        <v>2025</v>
      </c>
      <c r="D67" s="3" t="s">
        <v>968</v>
      </c>
      <c r="E67" s="3" t="s">
        <v>1111</v>
      </c>
      <c r="F67" s="3" t="s">
        <v>762</v>
      </c>
      <c r="G67" s="3" t="s">
        <v>783</v>
      </c>
      <c r="H67" s="3"/>
      <c r="I67" s="3"/>
      <c r="J67" s="3"/>
      <c r="K67" s="3" t="s">
        <v>1112</v>
      </c>
      <c r="L67" s="30" t="str">
        <v>autonomous_content_generation</v>
      </c>
      <c r="M67" s="30">
        <f t="shared" ref="M67:M83" si="1">COUNTIF(K67:K244,L67)</f>
        <v>4</v>
      </c>
      <c r="N67" s="31" t="str" cm="1">
        <f t="array" ref="N67">_xlfn.TEXTJOIN(", ",TRUE,_xlfn._xlws.FILTER(A67:A244,K67:K244=L67))</f>
        <v>B15, B25, B25, C3</v>
      </c>
    </row>
    <row r="68" spans="1:14" ht="43.5" x14ac:dyDescent="0.35">
      <c r="A68" s="3" t="s">
        <v>30</v>
      </c>
      <c r="B68" s="3" t="s">
        <v>12</v>
      </c>
      <c r="C68" s="3">
        <v>2025</v>
      </c>
      <c r="D68" s="3" t="s">
        <v>971</v>
      </c>
      <c r="E68" s="3" t="s">
        <v>1113</v>
      </c>
      <c r="F68" s="3" t="s">
        <v>783</v>
      </c>
      <c r="G68" s="3"/>
      <c r="H68" s="3"/>
      <c r="I68" s="3"/>
      <c r="J68" s="3"/>
      <c r="K68" s="3" t="s">
        <v>1017</v>
      </c>
      <c r="L68" s="30" t="str">
        <v>daily_life_integration</v>
      </c>
      <c r="M68" s="30">
        <f t="shared" si="1"/>
        <v>1</v>
      </c>
      <c r="N68" s="31" t="str" cm="1">
        <f t="array" ref="N68">_xlfn.TEXTJOIN(", ",TRUE,_xlfn._xlws.FILTER(A68:A245,K68:K245=L68))</f>
        <v>B17</v>
      </c>
    </row>
    <row r="69" spans="1:14" ht="29" x14ac:dyDescent="0.35">
      <c r="A69" s="3" t="s">
        <v>30</v>
      </c>
      <c r="B69" s="3" t="s">
        <v>12</v>
      </c>
      <c r="C69" s="3">
        <v>2025</v>
      </c>
      <c r="D69" s="3" t="s">
        <v>974</v>
      </c>
      <c r="E69" s="3" t="s">
        <v>1114</v>
      </c>
      <c r="F69" s="3" t="s">
        <v>762</v>
      </c>
      <c r="G69" s="3"/>
      <c r="H69" s="3"/>
      <c r="I69" s="3"/>
      <c r="J69" s="3"/>
      <c r="K69" s="3" t="s">
        <v>1023</v>
      </c>
      <c r="L69" s="30" t="str">
        <v>bigdata</v>
      </c>
      <c r="M69" s="30">
        <f t="shared" si="1"/>
        <v>2</v>
      </c>
      <c r="N69" s="31" t="str" cm="1">
        <f t="array" ref="N69">_xlfn.TEXTJOIN(", ",TRUE,_xlfn._xlws.FILTER(A69:A246,K69:K246=L69))</f>
        <v>B19, C3</v>
      </c>
    </row>
    <row r="70" spans="1:14" ht="29" x14ac:dyDescent="0.35">
      <c r="A70" s="3" t="s">
        <v>30</v>
      </c>
      <c r="B70" s="3" t="s">
        <v>12</v>
      </c>
      <c r="C70" s="3">
        <v>2025</v>
      </c>
      <c r="D70" s="3" t="s">
        <v>979</v>
      </c>
      <c r="E70" s="3" t="s">
        <v>1115</v>
      </c>
      <c r="F70" s="3" t="s">
        <v>783</v>
      </c>
      <c r="G70" s="3" t="s">
        <v>762</v>
      </c>
      <c r="H70" s="3"/>
      <c r="I70" s="3"/>
      <c r="J70" s="3"/>
      <c r="K70" s="3" t="s">
        <v>1023</v>
      </c>
      <c r="L70" s="30" t="str">
        <v>specialized_platforms</v>
      </c>
      <c r="M70" s="30">
        <f t="shared" si="1"/>
        <v>1</v>
      </c>
      <c r="N70" s="31" t="str" cm="1">
        <f t="array" ref="N70">_xlfn.TEXTJOIN(", ",TRUE,_xlfn._xlws.FILTER(A70:A247,K70:K247=L70))</f>
        <v>B20</v>
      </c>
    </row>
    <row r="71" spans="1:14" ht="29" x14ac:dyDescent="0.35">
      <c r="A71" s="3" t="s">
        <v>30</v>
      </c>
      <c r="B71" s="3" t="s">
        <v>12</v>
      </c>
      <c r="C71" s="3">
        <v>2025</v>
      </c>
      <c r="D71" s="3" t="s">
        <v>991</v>
      </c>
      <c r="E71" s="3" t="s">
        <v>1116</v>
      </c>
      <c r="F71" s="3" t="s">
        <v>993</v>
      </c>
      <c r="G71" s="3" t="s">
        <v>783</v>
      </c>
      <c r="H71" s="3"/>
      <c r="I71" s="3"/>
      <c r="J71" s="3"/>
      <c r="K71" s="3" t="s">
        <v>1117</v>
      </c>
      <c r="L71" s="30" t="str">
        <v>accuracy_design_data</v>
      </c>
      <c r="M71" s="30">
        <f t="shared" si="1"/>
        <v>1</v>
      </c>
      <c r="N71" s="31" t="str" cm="1">
        <f t="array" ref="N71">_xlfn.TEXTJOIN(", ",TRUE,_xlfn._xlws.FILTER(A71:A248,K71:K248=L71))</f>
        <v>B21</v>
      </c>
    </row>
    <row r="72" spans="1:14" ht="29" x14ac:dyDescent="0.35">
      <c r="A72" s="3" t="s">
        <v>30</v>
      </c>
      <c r="B72" s="3" t="s">
        <v>12</v>
      </c>
      <c r="C72" s="3">
        <v>2025</v>
      </c>
      <c r="D72" s="3" t="s">
        <v>995</v>
      </c>
      <c r="E72" s="3" t="s">
        <v>1118</v>
      </c>
      <c r="F72" s="3" t="s">
        <v>766</v>
      </c>
      <c r="G72" s="3"/>
      <c r="H72" s="3"/>
      <c r="I72" s="3"/>
      <c r="J72" s="3"/>
      <c r="K72" s="3" t="s">
        <v>1119</v>
      </c>
      <c r="L72" s="30" t="str">
        <v>user_control_intervention</v>
      </c>
      <c r="M72" s="30">
        <f t="shared" si="1"/>
        <v>1</v>
      </c>
      <c r="N72" s="31" t="str" cm="1">
        <f t="array" ref="N72">_xlfn.TEXTJOIN(", ",TRUE,_xlfn._xlws.FILTER(A72:A249,K72:K249=L72))</f>
        <v>B23</v>
      </c>
    </row>
    <row r="73" spans="1:14" ht="43.5" x14ac:dyDescent="0.35">
      <c r="A73" s="3" t="s">
        <v>30</v>
      </c>
      <c r="B73" s="3" t="s">
        <v>12</v>
      </c>
      <c r="C73" s="3">
        <v>2025</v>
      </c>
      <c r="D73" s="3" t="s">
        <v>998</v>
      </c>
      <c r="E73" s="3" t="s">
        <v>1120</v>
      </c>
      <c r="F73" s="3" t="s">
        <v>762</v>
      </c>
      <c r="G73" s="3" t="s">
        <v>976</v>
      </c>
      <c r="H73" s="3"/>
      <c r="I73" s="3"/>
      <c r="J73" s="3"/>
      <c r="K73" s="3" t="s">
        <v>1023</v>
      </c>
      <c r="L73" s="30" t="str">
        <v>low_resource_learning</v>
      </c>
      <c r="M73" s="30">
        <f t="shared" si="1"/>
        <v>1</v>
      </c>
      <c r="N73" s="31" t="str" cm="1">
        <f t="array" ref="N73">_xlfn.TEXTJOIN(", ",TRUE,_xlfn._xlws.FILTER(A73:A250,K73:K250=L73))</f>
        <v>B24</v>
      </c>
    </row>
    <row r="74" spans="1:14" ht="43.5" x14ac:dyDescent="0.35">
      <c r="A74" s="3" t="s">
        <v>30</v>
      </c>
      <c r="B74" s="3" t="s">
        <v>12</v>
      </c>
      <c r="C74" s="3">
        <v>2025</v>
      </c>
      <c r="D74" s="3" t="s">
        <v>1001</v>
      </c>
      <c r="E74" s="3" t="s">
        <v>1121</v>
      </c>
      <c r="F74" s="3" t="s">
        <v>762</v>
      </c>
      <c r="G74" s="3"/>
      <c r="H74" s="3"/>
      <c r="I74" s="3"/>
      <c r="J74" s="3"/>
      <c r="K74" s="3" t="s">
        <v>1023</v>
      </c>
      <c r="L74" s="30" t="str">
        <v>transfer_learning</v>
      </c>
      <c r="M74" s="30">
        <f t="shared" si="1"/>
        <v>1</v>
      </c>
      <c r="N74" s="31" t="str" cm="1">
        <f t="array" ref="N74">_xlfn.TEXTJOIN(", ",TRUE,_xlfn._xlws.FILTER(A74:A251,K74:K251=L74))</f>
        <v>B24</v>
      </c>
    </row>
    <row r="75" spans="1:14" ht="29" x14ac:dyDescent="0.35">
      <c r="A75" s="3" t="s">
        <v>30</v>
      </c>
      <c r="B75" s="3" t="s">
        <v>12</v>
      </c>
      <c r="C75" s="3">
        <v>2025</v>
      </c>
      <c r="D75" s="3" t="s">
        <v>1005</v>
      </c>
      <c r="E75" s="3" t="s">
        <v>1122</v>
      </c>
      <c r="F75" s="3" t="s">
        <v>762</v>
      </c>
      <c r="G75" s="3" t="s">
        <v>767</v>
      </c>
      <c r="H75" s="3" t="s">
        <v>775</v>
      </c>
      <c r="I75" s="3"/>
      <c r="J75" s="3"/>
      <c r="K75" s="3" t="s">
        <v>1023</v>
      </c>
      <c r="L75" s="30" t="str">
        <v>reward_estimation_reinforcement_learning</v>
      </c>
      <c r="M75" s="30">
        <f t="shared" si="1"/>
        <v>1</v>
      </c>
      <c r="N75" s="31" t="str" cm="1">
        <f t="array" ref="N75">_xlfn.TEXTJOIN(", ",TRUE,_xlfn._xlws.FILTER(A75:A252,K75:K252=L75))</f>
        <v>B24</v>
      </c>
    </row>
    <row r="76" spans="1:14" ht="29" x14ac:dyDescent="0.35">
      <c r="A76" s="3" t="s">
        <v>30</v>
      </c>
      <c r="B76" s="3" t="s">
        <v>12</v>
      </c>
      <c r="C76" s="3">
        <v>2025</v>
      </c>
      <c r="D76" s="3" t="s">
        <v>1009</v>
      </c>
      <c r="E76" s="3" t="s">
        <v>1123</v>
      </c>
      <c r="F76" s="3" t="s">
        <v>762</v>
      </c>
      <c r="G76" s="3" t="s">
        <v>976</v>
      </c>
      <c r="H76" s="3"/>
      <c r="I76" s="3"/>
      <c r="J76" s="3"/>
      <c r="K76" s="3" t="s">
        <v>1023</v>
      </c>
      <c r="L76" s="30" t="str">
        <v>ontology_integration_dialogue</v>
      </c>
      <c r="M76" s="30">
        <f t="shared" si="1"/>
        <v>1</v>
      </c>
      <c r="N76" s="31" t="str" cm="1">
        <f t="array" ref="N76">_xlfn.TEXTJOIN(", ",TRUE,_xlfn._xlws.FILTER(A76:A253,K76:K253=L76))</f>
        <v>B24</v>
      </c>
    </row>
    <row r="77" spans="1:14" ht="43.5" x14ac:dyDescent="0.35">
      <c r="A77" s="3" t="s">
        <v>33</v>
      </c>
      <c r="B77" s="3" t="s">
        <v>12</v>
      </c>
      <c r="C77" s="3">
        <v>2023</v>
      </c>
      <c r="D77" s="3" t="s">
        <v>968</v>
      </c>
      <c r="E77" s="3" t="s">
        <v>1124</v>
      </c>
      <c r="F77" s="3" t="s">
        <v>767</v>
      </c>
      <c r="G77" s="3" t="s">
        <v>766</v>
      </c>
      <c r="H77" s="3"/>
      <c r="I77" s="3"/>
      <c r="J77" s="3"/>
      <c r="K77" s="3" t="s">
        <v>1078</v>
      </c>
      <c r="L77" s="30" t="str">
        <v>integrated_learning</v>
      </c>
      <c r="M77" s="30">
        <f t="shared" si="1"/>
        <v>1</v>
      </c>
      <c r="N77" s="31" t="str" cm="1">
        <f t="array" ref="N77">_xlfn.TEXTJOIN(", ",TRUE,_xlfn._xlws.FILTER(A77:A254,K77:K254=L77))</f>
        <v>B24</v>
      </c>
    </row>
    <row r="78" spans="1:14" ht="29" x14ac:dyDescent="0.35">
      <c r="A78" s="3" t="s">
        <v>33</v>
      </c>
      <c r="B78" s="3" t="s">
        <v>12</v>
      </c>
      <c r="C78" s="3">
        <v>2023</v>
      </c>
      <c r="D78" s="3" t="s">
        <v>971</v>
      </c>
      <c r="E78" s="3" t="s">
        <v>1125</v>
      </c>
      <c r="F78" s="3" t="s">
        <v>767</v>
      </c>
      <c r="G78" s="3" t="s">
        <v>772</v>
      </c>
      <c r="H78" s="3" t="s">
        <v>766</v>
      </c>
      <c r="I78" s="3"/>
      <c r="J78" s="3"/>
      <c r="K78" s="3" t="s">
        <v>1078</v>
      </c>
      <c r="L78" s="30" t="str">
        <v>user_accesibility</v>
      </c>
      <c r="M78" s="30">
        <f t="shared" si="1"/>
        <v>1</v>
      </c>
      <c r="N78" s="31" t="str" cm="1">
        <f t="array" ref="N78">_xlfn.TEXTJOIN(", ",TRUE,_xlfn._xlws.FILTER(A78:A255,K78:K255=L78))</f>
        <v>B25</v>
      </c>
    </row>
    <row r="79" spans="1:14" x14ac:dyDescent="0.35">
      <c r="A79" s="3" t="s">
        <v>33</v>
      </c>
      <c r="B79" s="3" t="s">
        <v>12</v>
      </c>
      <c r="C79" s="3">
        <v>2023</v>
      </c>
      <c r="D79" s="3" t="s">
        <v>974</v>
      </c>
      <c r="E79" s="3" t="s">
        <v>1126</v>
      </c>
      <c r="F79" s="3" t="s">
        <v>767</v>
      </c>
      <c r="G79" s="3"/>
      <c r="H79" s="3"/>
      <c r="I79" s="3"/>
      <c r="J79" s="3"/>
      <c r="K79" s="3" t="s">
        <v>1078</v>
      </c>
      <c r="L79" s="30" t="str">
        <v>multiuser</v>
      </c>
      <c r="M79" s="30">
        <f t="shared" si="1"/>
        <v>1</v>
      </c>
      <c r="N79" s="31" t="str" cm="1">
        <f t="array" ref="N79">_xlfn.TEXTJOIN(", ",TRUE,_xlfn._xlws.FILTER(A79:A256,K79:K256=L79))</f>
        <v>B25</v>
      </c>
    </row>
    <row r="80" spans="1:14" ht="43.5" x14ac:dyDescent="0.35">
      <c r="A80" s="3" t="s">
        <v>33</v>
      </c>
      <c r="B80" s="3" t="s">
        <v>12</v>
      </c>
      <c r="C80" s="3">
        <v>2023</v>
      </c>
      <c r="D80" s="3" t="s">
        <v>979</v>
      </c>
      <c r="E80" s="3" t="s">
        <v>1127</v>
      </c>
      <c r="F80" s="3" t="s">
        <v>759</v>
      </c>
      <c r="G80" s="3" t="s">
        <v>977</v>
      </c>
      <c r="H80" s="3"/>
      <c r="I80" s="3"/>
      <c r="J80" s="3"/>
      <c r="K80" s="3" t="s">
        <v>1087</v>
      </c>
      <c r="L80" s="30" t="str">
        <v>user_activity_context</v>
      </c>
      <c r="M80" s="30">
        <f t="shared" si="1"/>
        <v>2</v>
      </c>
      <c r="N80" s="31" t="str" cm="1">
        <f t="array" ref="N80">_xlfn.TEXTJOIN(", ",TRUE,_xlfn._xlws.FILTER(A80:A257,K80:K257=L80))</f>
        <v>B25, B25</v>
      </c>
    </row>
    <row r="81" spans="1:14" ht="43.5" x14ac:dyDescent="0.35">
      <c r="A81" s="3" t="s">
        <v>33</v>
      </c>
      <c r="B81" s="3" t="s">
        <v>12</v>
      </c>
      <c r="C81" s="3">
        <v>2023</v>
      </c>
      <c r="D81" s="3" t="s">
        <v>991</v>
      </c>
      <c r="E81" s="3" t="s">
        <v>1128</v>
      </c>
      <c r="F81" s="3" t="s">
        <v>770</v>
      </c>
      <c r="G81" s="3" t="s">
        <v>759</v>
      </c>
      <c r="H81" s="3"/>
      <c r="I81" s="3"/>
      <c r="J81" s="3"/>
      <c r="K81" s="3" t="s">
        <v>997</v>
      </c>
      <c r="L81" s="30" t="str">
        <v>open_context</v>
      </c>
      <c r="M81" s="30">
        <f t="shared" si="1"/>
        <v>1</v>
      </c>
      <c r="N81" s="31" t="str" cm="1">
        <f t="array" ref="N81">_xlfn.TEXTJOIN(", ",TRUE,_xlfn._xlws.FILTER(A81:A258,K81:K258=L81))</f>
        <v>B26</v>
      </c>
    </row>
    <row r="82" spans="1:14" ht="43.5" x14ac:dyDescent="0.35">
      <c r="A82" s="3" t="s">
        <v>33</v>
      </c>
      <c r="B82" s="3" t="s">
        <v>12</v>
      </c>
      <c r="C82" s="3">
        <v>2023</v>
      </c>
      <c r="D82" s="3" t="s">
        <v>995</v>
      </c>
      <c r="E82" s="3" t="s">
        <v>1129</v>
      </c>
      <c r="F82" s="3" t="s">
        <v>767</v>
      </c>
      <c r="G82" s="3" t="s">
        <v>977</v>
      </c>
      <c r="H82" s="3" t="s">
        <v>772</v>
      </c>
      <c r="I82" s="3"/>
      <c r="J82" s="3"/>
      <c r="K82" s="3" t="s">
        <v>1078</v>
      </c>
      <c r="L82" s="30" t="str">
        <v>full_human_understanding</v>
      </c>
      <c r="M82" s="30">
        <f t="shared" si="1"/>
        <v>1</v>
      </c>
      <c r="N82" s="31" t="str" cm="1">
        <f t="array" ref="N82">_xlfn.TEXTJOIN(", ",TRUE,_xlfn._xlws.FILTER(A82:A259,K82:K259=L82))</f>
        <v>B26</v>
      </c>
    </row>
    <row r="83" spans="1:14" ht="43.5" x14ac:dyDescent="0.35">
      <c r="A83" s="3" t="s">
        <v>33</v>
      </c>
      <c r="B83" s="3" t="s">
        <v>12</v>
      </c>
      <c r="C83" s="3">
        <v>2023</v>
      </c>
      <c r="D83" s="3" t="s">
        <v>998</v>
      </c>
      <c r="E83" s="3" t="s">
        <v>1130</v>
      </c>
      <c r="F83" s="3" t="s">
        <v>767</v>
      </c>
      <c r="G83" s="3" t="s">
        <v>976</v>
      </c>
      <c r="H83" s="3"/>
      <c r="I83" s="3"/>
      <c r="J83" s="3"/>
      <c r="K83" s="3" t="s">
        <v>994</v>
      </c>
      <c r="L83" s="30" t="str">
        <v>personalization_autonomy_balance</v>
      </c>
      <c r="M83" s="30">
        <f t="shared" si="1"/>
        <v>1</v>
      </c>
      <c r="N83" s="31" t="str" cm="1">
        <f t="array" ref="N83">_xlfn.TEXTJOIN(", ",TRUE,_xlfn._xlws.FILTER(A83:A260,K83:K260=L83))</f>
        <v>C2</v>
      </c>
    </row>
    <row r="84" spans="1:14" ht="43.5" x14ac:dyDescent="0.35">
      <c r="A84" s="3" t="s">
        <v>33</v>
      </c>
      <c r="B84" s="3" t="s">
        <v>12</v>
      </c>
      <c r="C84" s="3">
        <v>2023</v>
      </c>
      <c r="D84" s="3" t="s">
        <v>1001</v>
      </c>
      <c r="E84" s="3" t="s">
        <v>1131</v>
      </c>
      <c r="F84" s="3" t="s">
        <v>759</v>
      </c>
      <c r="G84" s="3" t="s">
        <v>976</v>
      </c>
      <c r="H84" s="3"/>
      <c r="I84" s="3"/>
      <c r="J84" s="3"/>
      <c r="K84" s="3" t="s">
        <v>1132</v>
      </c>
    </row>
    <row r="85" spans="1:14" ht="43.5" x14ac:dyDescent="0.35">
      <c r="A85" s="3" t="s">
        <v>36</v>
      </c>
      <c r="B85" s="3" t="s">
        <v>12</v>
      </c>
      <c r="C85" s="3">
        <v>2024</v>
      </c>
      <c r="D85" s="3" t="s">
        <v>968</v>
      </c>
      <c r="E85" s="3" t="s">
        <v>1133</v>
      </c>
      <c r="F85" s="3" t="s">
        <v>976</v>
      </c>
      <c r="G85" s="3"/>
      <c r="H85" s="3"/>
      <c r="I85" s="3"/>
      <c r="J85" s="3"/>
      <c r="K85" s="3" t="s">
        <v>1134</v>
      </c>
    </row>
    <row r="86" spans="1:14" ht="29" x14ac:dyDescent="0.35">
      <c r="A86" s="3" t="s">
        <v>36</v>
      </c>
      <c r="B86" s="3" t="s">
        <v>12</v>
      </c>
      <c r="C86" s="3">
        <v>2024</v>
      </c>
      <c r="D86" s="3" t="s">
        <v>971</v>
      </c>
      <c r="E86" s="3" t="s">
        <v>1135</v>
      </c>
      <c r="F86" s="3" t="s">
        <v>766</v>
      </c>
      <c r="G86" s="3"/>
      <c r="H86" s="3"/>
      <c r="I86" s="3"/>
      <c r="J86" s="3"/>
      <c r="K86" s="3" t="s">
        <v>1014</v>
      </c>
    </row>
    <row r="87" spans="1:14" ht="43.5" x14ac:dyDescent="0.35">
      <c r="A87" s="3" t="s">
        <v>36</v>
      </c>
      <c r="B87" s="3" t="s">
        <v>12</v>
      </c>
      <c r="C87" s="3">
        <v>2024</v>
      </c>
      <c r="D87" s="3" t="s">
        <v>974</v>
      </c>
      <c r="E87" s="3" t="s">
        <v>1136</v>
      </c>
      <c r="F87" s="3" t="s">
        <v>766</v>
      </c>
      <c r="G87" s="3" t="s">
        <v>1137</v>
      </c>
      <c r="H87" s="3"/>
      <c r="I87" s="3"/>
      <c r="J87" s="3"/>
      <c r="K87" s="3" t="s">
        <v>1138</v>
      </c>
    </row>
    <row r="88" spans="1:14" ht="29" x14ac:dyDescent="0.35">
      <c r="A88" s="3" t="s">
        <v>36</v>
      </c>
      <c r="B88" s="3" t="s">
        <v>12</v>
      </c>
      <c r="C88" s="3">
        <v>2024</v>
      </c>
      <c r="D88" s="3" t="s">
        <v>979</v>
      </c>
      <c r="E88" s="3" t="s">
        <v>1139</v>
      </c>
      <c r="F88" s="3" t="s">
        <v>783</v>
      </c>
      <c r="G88" s="3" t="s">
        <v>762</v>
      </c>
      <c r="H88" s="3"/>
      <c r="I88" s="3"/>
      <c r="J88" s="3"/>
      <c r="K88" s="3" t="s">
        <v>1109</v>
      </c>
    </row>
    <row r="89" spans="1:14" ht="43.5" x14ac:dyDescent="0.35">
      <c r="A89" s="3" t="s">
        <v>36</v>
      </c>
      <c r="B89" s="3" t="s">
        <v>12</v>
      </c>
      <c r="C89" s="3">
        <v>2024</v>
      </c>
      <c r="D89" s="3" t="s">
        <v>991</v>
      </c>
      <c r="E89" s="3" t="s">
        <v>1140</v>
      </c>
      <c r="F89" s="3" t="s">
        <v>770</v>
      </c>
      <c r="G89" s="3" t="s">
        <v>767</v>
      </c>
      <c r="H89" s="3"/>
      <c r="I89" s="3"/>
      <c r="J89" s="3"/>
      <c r="K89" s="3" t="s">
        <v>1141</v>
      </c>
    </row>
    <row r="90" spans="1:14" ht="43.5" x14ac:dyDescent="0.35">
      <c r="A90" s="3" t="s">
        <v>36</v>
      </c>
      <c r="B90" s="3" t="s">
        <v>12</v>
      </c>
      <c r="C90" s="3">
        <v>2024</v>
      </c>
      <c r="D90" s="3" t="s">
        <v>995</v>
      </c>
      <c r="E90" s="3" t="s">
        <v>1142</v>
      </c>
      <c r="F90" s="3" t="s">
        <v>767</v>
      </c>
      <c r="G90" s="3" t="s">
        <v>977</v>
      </c>
      <c r="H90" s="3" t="s">
        <v>772</v>
      </c>
      <c r="I90" s="3"/>
      <c r="J90" s="3"/>
      <c r="K90" s="3" t="s">
        <v>1078</v>
      </c>
    </row>
    <row r="91" spans="1:14" ht="43.5" x14ac:dyDescent="0.35">
      <c r="A91" s="3" t="s">
        <v>36</v>
      </c>
      <c r="B91" s="3" t="s">
        <v>12</v>
      </c>
      <c r="C91" s="3">
        <v>2024</v>
      </c>
      <c r="D91" s="3" t="s">
        <v>998</v>
      </c>
      <c r="E91" s="3" t="s">
        <v>1143</v>
      </c>
      <c r="F91" s="3" t="s">
        <v>767</v>
      </c>
      <c r="G91" s="3" t="s">
        <v>775</v>
      </c>
      <c r="H91" s="3"/>
      <c r="I91" s="3"/>
      <c r="J91" s="3"/>
      <c r="K91" s="3" t="s">
        <v>1107</v>
      </c>
    </row>
    <row r="92" spans="1:14" ht="43.5" x14ac:dyDescent="0.35">
      <c r="A92" s="3" t="s">
        <v>36</v>
      </c>
      <c r="B92" s="3" t="s">
        <v>12</v>
      </c>
      <c r="C92" s="3">
        <v>2024</v>
      </c>
      <c r="D92" s="3" t="s">
        <v>1001</v>
      </c>
      <c r="E92" s="3" t="s">
        <v>1144</v>
      </c>
      <c r="F92" s="3" t="s">
        <v>1003</v>
      </c>
      <c r="G92" s="3" t="s">
        <v>767</v>
      </c>
      <c r="H92" s="3" t="s">
        <v>759</v>
      </c>
      <c r="I92" s="3"/>
      <c r="J92" s="3"/>
      <c r="K92" s="3" t="s">
        <v>1103</v>
      </c>
    </row>
    <row r="93" spans="1:14" ht="58" x14ac:dyDescent="0.35">
      <c r="A93" s="3" t="s">
        <v>36</v>
      </c>
      <c r="B93" s="3" t="s">
        <v>12</v>
      </c>
      <c r="C93" s="3">
        <v>2024</v>
      </c>
      <c r="D93" s="3" t="s">
        <v>1005</v>
      </c>
      <c r="E93" s="3" t="s">
        <v>1145</v>
      </c>
      <c r="F93" s="3" t="s">
        <v>767</v>
      </c>
      <c r="G93" s="3" t="s">
        <v>766</v>
      </c>
      <c r="H93" s="3" t="s">
        <v>1146</v>
      </c>
      <c r="I93" s="3"/>
      <c r="J93" s="3"/>
      <c r="K93" s="3" t="s">
        <v>1147</v>
      </c>
    </row>
    <row r="94" spans="1:14" ht="43.5" x14ac:dyDescent="0.35">
      <c r="A94" s="3" t="s">
        <v>36</v>
      </c>
      <c r="B94" s="3" t="s">
        <v>12</v>
      </c>
      <c r="C94" s="3">
        <v>2024</v>
      </c>
      <c r="D94" s="3" t="s">
        <v>1009</v>
      </c>
      <c r="E94" s="3" t="s">
        <v>1148</v>
      </c>
      <c r="F94" s="3" t="s">
        <v>783</v>
      </c>
      <c r="G94" s="3" t="s">
        <v>762</v>
      </c>
      <c r="H94" s="3"/>
      <c r="I94" s="3"/>
      <c r="J94" s="3"/>
      <c r="K94" s="3" t="s">
        <v>1109</v>
      </c>
    </row>
    <row r="95" spans="1:14" ht="43.5" x14ac:dyDescent="0.35">
      <c r="A95" s="3" t="s">
        <v>36</v>
      </c>
      <c r="B95" s="3" t="s">
        <v>12</v>
      </c>
      <c r="C95" s="3">
        <v>2024</v>
      </c>
      <c r="D95" s="3" t="s">
        <v>1012</v>
      </c>
      <c r="E95" s="3" t="s">
        <v>1149</v>
      </c>
      <c r="F95" s="3" t="s">
        <v>775</v>
      </c>
      <c r="G95" s="3" t="s">
        <v>977</v>
      </c>
      <c r="H95" s="3" t="s">
        <v>767</v>
      </c>
      <c r="I95" s="3"/>
      <c r="J95" s="3"/>
      <c r="K95" s="3" t="s">
        <v>1150</v>
      </c>
    </row>
    <row r="96" spans="1:14" ht="29" x14ac:dyDescent="0.35">
      <c r="A96" s="3" t="s">
        <v>40</v>
      </c>
      <c r="B96" s="3" t="s">
        <v>12</v>
      </c>
      <c r="C96" s="3">
        <v>2023</v>
      </c>
      <c r="D96" s="3" t="s">
        <v>968</v>
      </c>
      <c r="E96" s="3" t="s">
        <v>1151</v>
      </c>
      <c r="F96" s="3" t="s">
        <v>766</v>
      </c>
      <c r="G96" s="3" t="s">
        <v>976</v>
      </c>
      <c r="H96" s="3"/>
      <c r="I96" s="3"/>
      <c r="J96" s="3"/>
      <c r="K96" s="3" t="s">
        <v>1107</v>
      </c>
    </row>
    <row r="97" spans="1:11" ht="29" x14ac:dyDescent="0.35">
      <c r="A97" s="3" t="s">
        <v>40</v>
      </c>
      <c r="B97" s="3" t="s">
        <v>12</v>
      </c>
      <c r="C97" s="3">
        <v>2023</v>
      </c>
      <c r="D97" s="3" t="s">
        <v>971</v>
      </c>
      <c r="E97" s="3" t="s">
        <v>1152</v>
      </c>
      <c r="F97" s="3" t="s">
        <v>976</v>
      </c>
      <c r="G97" s="3" t="s">
        <v>772</v>
      </c>
      <c r="H97" s="3"/>
      <c r="I97" s="3"/>
      <c r="J97" s="3"/>
      <c r="K97" s="3" t="s">
        <v>1153</v>
      </c>
    </row>
    <row r="98" spans="1:11" ht="29" x14ac:dyDescent="0.35">
      <c r="A98" s="3" t="s">
        <v>40</v>
      </c>
      <c r="B98" s="3" t="s">
        <v>12</v>
      </c>
      <c r="C98" s="3">
        <v>2023</v>
      </c>
      <c r="D98" s="3" t="s">
        <v>974</v>
      </c>
      <c r="E98" s="3" t="s">
        <v>1154</v>
      </c>
      <c r="F98" s="3" t="s">
        <v>775</v>
      </c>
      <c r="G98" s="3" t="s">
        <v>772</v>
      </c>
      <c r="H98" s="3" t="s">
        <v>977</v>
      </c>
      <c r="I98" s="3"/>
      <c r="J98" s="3"/>
      <c r="K98" s="3" t="s">
        <v>1078</v>
      </c>
    </row>
    <row r="99" spans="1:11" ht="29" x14ac:dyDescent="0.35">
      <c r="A99" s="3" t="s">
        <v>40</v>
      </c>
      <c r="B99" s="3" t="s">
        <v>12</v>
      </c>
      <c r="C99" s="3">
        <v>2023</v>
      </c>
      <c r="D99" s="3" t="s">
        <v>979</v>
      </c>
      <c r="E99" s="3" t="s">
        <v>1155</v>
      </c>
      <c r="F99" s="3" t="s">
        <v>775</v>
      </c>
      <c r="G99" s="3" t="s">
        <v>987</v>
      </c>
      <c r="H99" s="3" t="s">
        <v>767</v>
      </c>
      <c r="I99" s="3"/>
      <c r="J99" s="3"/>
      <c r="K99" s="3" t="s">
        <v>1141</v>
      </c>
    </row>
    <row r="100" spans="1:11" ht="43.5" x14ac:dyDescent="0.35">
      <c r="A100" s="3" t="s">
        <v>43</v>
      </c>
      <c r="B100" s="3" t="s">
        <v>44</v>
      </c>
      <c r="C100" s="3">
        <v>2025</v>
      </c>
      <c r="D100" s="3" t="s">
        <v>968</v>
      </c>
      <c r="E100" s="3" t="s">
        <v>1156</v>
      </c>
      <c r="F100" s="3" t="s">
        <v>775</v>
      </c>
      <c r="G100" s="3" t="s">
        <v>767</v>
      </c>
      <c r="H100" s="3"/>
      <c r="I100" s="3"/>
      <c r="J100" s="3"/>
      <c r="K100" s="3" t="s">
        <v>1150</v>
      </c>
    </row>
    <row r="101" spans="1:11" ht="29" x14ac:dyDescent="0.35">
      <c r="A101" s="3" t="s">
        <v>47</v>
      </c>
      <c r="B101" s="3" t="s">
        <v>44</v>
      </c>
      <c r="C101" s="3">
        <v>2025</v>
      </c>
      <c r="D101" s="3" t="s">
        <v>968</v>
      </c>
      <c r="E101" s="3" t="s">
        <v>1157</v>
      </c>
      <c r="F101" s="3" t="s">
        <v>766</v>
      </c>
      <c r="G101" s="3" t="s">
        <v>987</v>
      </c>
      <c r="H101" s="3" t="s">
        <v>759</v>
      </c>
      <c r="I101" s="3"/>
      <c r="J101" s="3"/>
      <c r="K101" s="3" t="s">
        <v>1158</v>
      </c>
    </row>
    <row r="102" spans="1:11" ht="29" x14ac:dyDescent="0.35">
      <c r="A102" s="3" t="s">
        <v>57</v>
      </c>
      <c r="B102" s="3" t="s">
        <v>7</v>
      </c>
      <c r="C102" s="3">
        <v>2025</v>
      </c>
      <c r="D102" s="3" t="s">
        <v>968</v>
      </c>
      <c r="E102" s="3" t="s">
        <v>1159</v>
      </c>
      <c r="F102" s="3" t="s">
        <v>759</v>
      </c>
      <c r="G102" s="3" t="s">
        <v>987</v>
      </c>
      <c r="H102" s="3"/>
      <c r="I102" s="3"/>
      <c r="J102" s="3"/>
      <c r="K102" s="3" t="s">
        <v>1160</v>
      </c>
    </row>
    <row r="103" spans="1:11" ht="43.5" x14ac:dyDescent="0.35">
      <c r="A103" s="3" t="s">
        <v>60</v>
      </c>
      <c r="B103" s="3" t="s">
        <v>44</v>
      </c>
      <c r="C103" s="3">
        <v>2023</v>
      </c>
      <c r="D103" s="3" t="s">
        <v>968</v>
      </c>
      <c r="E103" s="3" t="s">
        <v>1161</v>
      </c>
      <c r="F103" s="3" t="s">
        <v>783</v>
      </c>
      <c r="G103" s="3" t="s">
        <v>759</v>
      </c>
      <c r="H103" s="3" t="s">
        <v>977</v>
      </c>
      <c r="I103" s="3" t="s">
        <v>775</v>
      </c>
      <c r="J103" s="3" t="s">
        <v>770</v>
      </c>
      <c r="K103" s="3" t="s">
        <v>1162</v>
      </c>
    </row>
    <row r="104" spans="1:11" ht="43.5" x14ac:dyDescent="0.35">
      <c r="A104" s="3" t="s">
        <v>60</v>
      </c>
      <c r="B104" s="3" t="s">
        <v>44</v>
      </c>
      <c r="C104" s="3">
        <v>2023</v>
      </c>
      <c r="D104" s="3" t="s">
        <v>971</v>
      </c>
      <c r="E104" s="3" t="s">
        <v>1163</v>
      </c>
      <c r="F104" s="3" t="s">
        <v>976</v>
      </c>
      <c r="G104" s="3" t="s">
        <v>987</v>
      </c>
      <c r="H104" s="3" t="s">
        <v>759</v>
      </c>
      <c r="I104" s="3" t="s">
        <v>783</v>
      </c>
      <c r="J104" s="3"/>
      <c r="K104" s="3" t="s">
        <v>1162</v>
      </c>
    </row>
    <row r="105" spans="1:11" ht="29" x14ac:dyDescent="0.35">
      <c r="A105" s="3" t="s">
        <v>60</v>
      </c>
      <c r="B105" s="3" t="s">
        <v>44</v>
      </c>
      <c r="C105" s="3">
        <v>2023</v>
      </c>
      <c r="D105" s="3" t="s">
        <v>974</v>
      </c>
      <c r="E105" s="3" t="s">
        <v>1164</v>
      </c>
      <c r="F105" s="3" t="s">
        <v>759</v>
      </c>
      <c r="G105" s="3" t="s">
        <v>987</v>
      </c>
      <c r="H105" s="3"/>
      <c r="I105" s="3"/>
      <c r="J105" s="3"/>
      <c r="K105" s="3" t="s">
        <v>1165</v>
      </c>
    </row>
    <row r="106" spans="1:11" ht="29" x14ac:dyDescent="0.35">
      <c r="A106" s="3" t="s">
        <v>60</v>
      </c>
      <c r="B106" s="3" t="s">
        <v>44</v>
      </c>
      <c r="C106" s="3">
        <v>2023</v>
      </c>
      <c r="D106" s="3" t="s">
        <v>979</v>
      </c>
      <c r="E106" s="3" t="s">
        <v>1166</v>
      </c>
      <c r="F106" s="3" t="s">
        <v>759</v>
      </c>
      <c r="G106" s="3" t="s">
        <v>977</v>
      </c>
      <c r="H106" s="3"/>
      <c r="I106" s="3"/>
      <c r="J106" s="3"/>
      <c r="K106" s="3" t="s">
        <v>1165</v>
      </c>
    </row>
    <row r="107" spans="1:11" ht="43.5" x14ac:dyDescent="0.35">
      <c r="A107" s="3" t="s">
        <v>60</v>
      </c>
      <c r="B107" s="3" t="s">
        <v>44</v>
      </c>
      <c r="C107" s="3">
        <v>2023</v>
      </c>
      <c r="D107" s="3" t="s">
        <v>991</v>
      </c>
      <c r="E107" s="3" t="s">
        <v>1167</v>
      </c>
      <c r="F107" s="3" t="s">
        <v>1168</v>
      </c>
      <c r="G107" s="3" t="s">
        <v>759</v>
      </c>
      <c r="H107" s="3" t="s">
        <v>987</v>
      </c>
      <c r="I107" s="3"/>
      <c r="J107" s="3"/>
      <c r="K107" s="3" t="s">
        <v>1162</v>
      </c>
    </row>
    <row r="108" spans="1:11" ht="29" x14ac:dyDescent="0.35">
      <c r="A108" s="3" t="s">
        <v>60</v>
      </c>
      <c r="B108" s="3" t="s">
        <v>44</v>
      </c>
      <c r="C108" s="3">
        <v>2023</v>
      </c>
      <c r="D108" s="3" t="s">
        <v>995</v>
      </c>
      <c r="E108" s="3" t="s">
        <v>1169</v>
      </c>
      <c r="F108" s="3" t="s">
        <v>766</v>
      </c>
      <c r="G108" s="3" t="s">
        <v>759</v>
      </c>
      <c r="H108" s="3"/>
      <c r="I108" s="3"/>
      <c r="J108" s="3"/>
      <c r="K108" s="3" t="s">
        <v>1087</v>
      </c>
    </row>
    <row r="109" spans="1:11" ht="43.5" x14ac:dyDescent="0.35">
      <c r="A109" s="3" t="s">
        <v>60</v>
      </c>
      <c r="B109" s="3" t="s">
        <v>44</v>
      </c>
      <c r="C109" s="3">
        <v>2023</v>
      </c>
      <c r="D109" s="3" t="s">
        <v>998</v>
      </c>
      <c r="E109" s="3" t="s">
        <v>1170</v>
      </c>
      <c r="F109" s="3" t="s">
        <v>775</v>
      </c>
      <c r="G109" s="3" t="s">
        <v>987</v>
      </c>
      <c r="H109" s="3" t="s">
        <v>783</v>
      </c>
      <c r="I109" s="3" t="s">
        <v>770</v>
      </c>
      <c r="J109" s="3"/>
      <c r="K109" s="3" t="s">
        <v>1109</v>
      </c>
    </row>
    <row r="110" spans="1:11" ht="43.5" x14ac:dyDescent="0.35">
      <c r="A110" s="3" t="s">
        <v>62</v>
      </c>
      <c r="B110" s="3" t="s">
        <v>7</v>
      </c>
      <c r="C110" s="3">
        <v>2024</v>
      </c>
      <c r="D110" s="3" t="s">
        <v>968</v>
      </c>
      <c r="E110" s="3" t="s">
        <v>1171</v>
      </c>
      <c r="F110" s="3" t="s">
        <v>783</v>
      </c>
      <c r="G110" s="3" t="s">
        <v>1064</v>
      </c>
      <c r="H110" s="3"/>
      <c r="I110" s="3"/>
      <c r="J110" s="3"/>
      <c r="K110" s="3" t="s">
        <v>1109</v>
      </c>
    </row>
    <row r="111" spans="1:11" ht="29" x14ac:dyDescent="0.35">
      <c r="A111" s="3" t="s">
        <v>62</v>
      </c>
      <c r="B111" s="3" t="s">
        <v>7</v>
      </c>
      <c r="C111" s="3">
        <v>2024</v>
      </c>
      <c r="D111" s="3" t="s">
        <v>971</v>
      </c>
      <c r="E111" s="3" t="s">
        <v>1172</v>
      </c>
      <c r="F111" s="3" t="s">
        <v>977</v>
      </c>
      <c r="G111" s="3" t="s">
        <v>783</v>
      </c>
      <c r="H111" s="3"/>
      <c r="I111" s="3"/>
      <c r="J111" s="3"/>
      <c r="K111" s="3" t="s">
        <v>1173</v>
      </c>
    </row>
    <row r="112" spans="1:11" ht="43.5" x14ac:dyDescent="0.35">
      <c r="A112" s="3" t="s">
        <v>62</v>
      </c>
      <c r="B112" s="3" t="s">
        <v>7</v>
      </c>
      <c r="C112" s="3">
        <v>2024</v>
      </c>
      <c r="D112" s="3" t="s">
        <v>974</v>
      </c>
      <c r="E112" s="3" t="s">
        <v>1174</v>
      </c>
      <c r="F112" s="3" t="s">
        <v>762</v>
      </c>
      <c r="G112" s="3" t="s">
        <v>1064</v>
      </c>
      <c r="H112" s="3"/>
      <c r="I112" s="3"/>
      <c r="J112" s="3"/>
      <c r="K112" s="3" t="s">
        <v>1023</v>
      </c>
    </row>
    <row r="113" spans="1:11" ht="43.5" x14ac:dyDescent="0.35">
      <c r="A113" s="3" t="s">
        <v>66</v>
      </c>
      <c r="B113" s="3" t="s">
        <v>7</v>
      </c>
      <c r="C113" s="3">
        <v>2023</v>
      </c>
      <c r="D113" s="3" t="s">
        <v>968</v>
      </c>
      <c r="E113" s="3" t="s">
        <v>1175</v>
      </c>
      <c r="F113" s="3" t="s">
        <v>762</v>
      </c>
      <c r="G113" s="3" t="s">
        <v>1064</v>
      </c>
      <c r="H113" s="3" t="s">
        <v>783</v>
      </c>
      <c r="I113" s="3"/>
      <c r="J113" s="3"/>
      <c r="K113" s="3" t="s">
        <v>1023</v>
      </c>
    </row>
    <row r="114" spans="1:11" ht="43.5" x14ac:dyDescent="0.35">
      <c r="A114" s="3" t="s">
        <v>66</v>
      </c>
      <c r="B114" s="3" t="s">
        <v>7</v>
      </c>
      <c r="C114" s="3">
        <v>2023</v>
      </c>
      <c r="D114" s="3" t="s">
        <v>971</v>
      </c>
      <c r="E114" s="3" t="s">
        <v>1176</v>
      </c>
      <c r="F114" s="3" t="s">
        <v>1177</v>
      </c>
      <c r="G114" s="3" t="s">
        <v>769</v>
      </c>
      <c r="H114" s="3" t="s">
        <v>756</v>
      </c>
      <c r="I114" s="3"/>
      <c r="J114" s="3"/>
      <c r="K114" s="3" t="s">
        <v>1178</v>
      </c>
    </row>
    <row r="115" spans="1:11" ht="43.5" x14ac:dyDescent="0.35">
      <c r="A115" s="3" t="s">
        <v>66</v>
      </c>
      <c r="B115" s="3" t="s">
        <v>7</v>
      </c>
      <c r="C115" s="3">
        <v>2023</v>
      </c>
      <c r="D115" s="3" t="s">
        <v>974</v>
      </c>
      <c r="E115" s="3" t="s">
        <v>1179</v>
      </c>
      <c r="F115" s="3" t="s">
        <v>767</v>
      </c>
      <c r="G115" s="3" t="s">
        <v>759</v>
      </c>
      <c r="H115" s="3" t="s">
        <v>976</v>
      </c>
      <c r="I115" s="3"/>
      <c r="J115" s="3"/>
      <c r="K115" s="3" t="s">
        <v>1180</v>
      </c>
    </row>
    <row r="116" spans="1:11" ht="43.5" x14ac:dyDescent="0.35">
      <c r="A116" s="3" t="s">
        <v>66</v>
      </c>
      <c r="B116" s="3" t="s">
        <v>7</v>
      </c>
      <c r="C116" s="3">
        <v>2023</v>
      </c>
      <c r="D116" s="3" t="s">
        <v>979</v>
      </c>
      <c r="E116" s="3" t="s">
        <v>1181</v>
      </c>
      <c r="F116" s="3" t="s">
        <v>759</v>
      </c>
      <c r="G116" s="3" t="s">
        <v>783</v>
      </c>
      <c r="H116" s="3"/>
      <c r="I116" s="3"/>
      <c r="J116" s="3"/>
      <c r="K116" s="3" t="s">
        <v>1182</v>
      </c>
    </row>
    <row r="117" spans="1:11" ht="29" x14ac:dyDescent="0.35">
      <c r="A117" s="3" t="s">
        <v>66</v>
      </c>
      <c r="B117" s="3" t="s">
        <v>7</v>
      </c>
      <c r="C117" s="3">
        <v>2023</v>
      </c>
      <c r="D117" s="3" t="s">
        <v>991</v>
      </c>
      <c r="E117" s="3" t="s">
        <v>1183</v>
      </c>
      <c r="F117" s="3" t="s">
        <v>759</v>
      </c>
      <c r="G117" s="3"/>
      <c r="H117" s="3"/>
      <c r="I117" s="3"/>
      <c r="J117" s="3"/>
      <c r="K117" s="3" t="s">
        <v>1165</v>
      </c>
    </row>
    <row r="118" spans="1:11" ht="43.5" x14ac:dyDescent="0.35">
      <c r="A118" s="3" t="s">
        <v>66</v>
      </c>
      <c r="B118" s="3" t="s">
        <v>7</v>
      </c>
      <c r="C118" s="3">
        <v>2023</v>
      </c>
      <c r="D118" s="3" t="s">
        <v>995</v>
      </c>
      <c r="E118" s="3" t="s">
        <v>1184</v>
      </c>
      <c r="F118" s="3" t="s">
        <v>759</v>
      </c>
      <c r="G118" s="3" t="s">
        <v>977</v>
      </c>
      <c r="H118" s="3"/>
      <c r="I118" s="3"/>
      <c r="J118" s="3"/>
      <c r="K118" s="3" t="s">
        <v>1087</v>
      </c>
    </row>
    <row r="119" spans="1:11" ht="43.5" x14ac:dyDescent="0.35">
      <c r="A119" s="3" t="s">
        <v>66</v>
      </c>
      <c r="B119" s="3" t="s">
        <v>7</v>
      </c>
      <c r="C119" s="3">
        <v>2023</v>
      </c>
      <c r="D119" s="3" t="s">
        <v>998</v>
      </c>
      <c r="E119" s="3" t="s">
        <v>1185</v>
      </c>
      <c r="F119" s="3" t="s">
        <v>759</v>
      </c>
      <c r="G119" s="3" t="s">
        <v>1186</v>
      </c>
      <c r="H119" s="3" t="s">
        <v>1137</v>
      </c>
      <c r="I119" s="3"/>
      <c r="J119" s="3"/>
      <c r="K119" s="3" t="s">
        <v>1087</v>
      </c>
    </row>
    <row r="120" spans="1:11" ht="43.5" x14ac:dyDescent="0.35">
      <c r="A120" s="3" t="s">
        <v>66</v>
      </c>
      <c r="B120" s="3" t="s">
        <v>7</v>
      </c>
      <c r="C120" s="3">
        <v>2023</v>
      </c>
      <c r="D120" s="3" t="s">
        <v>1001</v>
      </c>
      <c r="E120" s="3" t="s">
        <v>1187</v>
      </c>
      <c r="F120" s="3" t="s">
        <v>756</v>
      </c>
      <c r="G120" s="3" t="s">
        <v>775</v>
      </c>
      <c r="H120" s="3" t="s">
        <v>786</v>
      </c>
      <c r="I120" s="3"/>
      <c r="J120" s="3"/>
      <c r="K120" s="3" t="s">
        <v>1188</v>
      </c>
    </row>
    <row r="121" spans="1:11" ht="43.5" x14ac:dyDescent="0.35">
      <c r="A121" s="3" t="s">
        <v>72</v>
      </c>
      <c r="B121" s="3" t="s">
        <v>12</v>
      </c>
      <c r="C121" s="3">
        <v>2020</v>
      </c>
      <c r="D121" s="3" t="s">
        <v>968</v>
      </c>
      <c r="E121" s="3" t="s">
        <v>1189</v>
      </c>
      <c r="F121" s="3" t="s">
        <v>1186</v>
      </c>
      <c r="G121" s="3" t="s">
        <v>976</v>
      </c>
      <c r="H121" s="3"/>
      <c r="I121" s="3"/>
      <c r="J121" s="3"/>
      <c r="K121" s="3" t="s">
        <v>1190</v>
      </c>
    </row>
    <row r="122" spans="1:11" ht="43.5" x14ac:dyDescent="0.35">
      <c r="A122" s="3" t="s">
        <v>72</v>
      </c>
      <c r="B122" s="3" t="s">
        <v>12</v>
      </c>
      <c r="C122" s="3">
        <v>2020</v>
      </c>
      <c r="D122" s="3" t="s">
        <v>971</v>
      </c>
      <c r="E122" s="3" t="s">
        <v>1191</v>
      </c>
      <c r="F122" s="3" t="s">
        <v>772</v>
      </c>
      <c r="G122" s="3" t="s">
        <v>767</v>
      </c>
      <c r="H122" s="3"/>
      <c r="I122" s="3"/>
      <c r="J122" s="3"/>
      <c r="K122" s="3" t="s">
        <v>1078</v>
      </c>
    </row>
    <row r="123" spans="1:11" ht="29" x14ac:dyDescent="0.35">
      <c r="A123" s="3" t="s">
        <v>72</v>
      </c>
      <c r="B123" s="3" t="s">
        <v>12</v>
      </c>
      <c r="C123" s="3">
        <v>2020</v>
      </c>
      <c r="D123" s="3" t="s">
        <v>974</v>
      </c>
      <c r="E123" s="3" t="s">
        <v>1192</v>
      </c>
      <c r="F123" s="3" t="s">
        <v>775</v>
      </c>
      <c r="G123" s="3" t="s">
        <v>767</v>
      </c>
      <c r="H123" s="3"/>
      <c r="I123" s="3"/>
      <c r="J123" s="3"/>
      <c r="K123" s="3" t="s">
        <v>1193</v>
      </c>
    </row>
    <row r="124" spans="1:11" ht="29" x14ac:dyDescent="0.35">
      <c r="A124" s="3" t="s">
        <v>76</v>
      </c>
      <c r="B124" s="3" t="s">
        <v>12</v>
      </c>
      <c r="C124" s="3">
        <v>2024</v>
      </c>
      <c r="D124" s="3" t="s">
        <v>968</v>
      </c>
      <c r="E124" s="3" t="s">
        <v>1194</v>
      </c>
      <c r="F124" s="3" t="s">
        <v>766</v>
      </c>
      <c r="G124" s="3"/>
      <c r="H124" s="3"/>
      <c r="I124" s="3"/>
      <c r="J124" s="3"/>
      <c r="K124" s="3" t="s">
        <v>1119</v>
      </c>
    </row>
    <row r="125" spans="1:11" ht="43.5" x14ac:dyDescent="0.35">
      <c r="A125" s="3" t="s">
        <v>76</v>
      </c>
      <c r="B125" s="3" t="s">
        <v>12</v>
      </c>
      <c r="C125" s="3">
        <v>2024</v>
      </c>
      <c r="D125" s="3" t="s">
        <v>971</v>
      </c>
      <c r="E125" s="3" t="s">
        <v>1195</v>
      </c>
      <c r="F125" s="3" t="s">
        <v>767</v>
      </c>
      <c r="G125" s="3" t="s">
        <v>775</v>
      </c>
      <c r="H125" s="3"/>
      <c r="I125" s="3"/>
      <c r="J125" s="3"/>
      <c r="K125" s="3" t="s">
        <v>1141</v>
      </c>
    </row>
    <row r="126" spans="1:11" ht="43.5" x14ac:dyDescent="0.35">
      <c r="A126" s="3" t="s">
        <v>79</v>
      </c>
      <c r="B126" s="3" t="s">
        <v>7</v>
      </c>
      <c r="C126" s="3">
        <v>2022</v>
      </c>
      <c r="D126" s="3" t="s">
        <v>968</v>
      </c>
      <c r="E126" s="3" t="s">
        <v>1196</v>
      </c>
      <c r="F126" s="3" t="s">
        <v>766</v>
      </c>
      <c r="G126" s="3" t="s">
        <v>1186</v>
      </c>
      <c r="H126" s="3" t="s">
        <v>976</v>
      </c>
      <c r="I126" s="3"/>
      <c r="J126" s="3"/>
      <c r="K126" s="3" t="s">
        <v>1138</v>
      </c>
    </row>
    <row r="127" spans="1:11" ht="43.5" x14ac:dyDescent="0.35">
      <c r="A127" s="3" t="s">
        <v>79</v>
      </c>
      <c r="B127" s="3" t="s">
        <v>7</v>
      </c>
      <c r="C127" s="3">
        <v>2022</v>
      </c>
      <c r="D127" s="3" t="s">
        <v>971</v>
      </c>
      <c r="E127" s="3" t="s">
        <v>1197</v>
      </c>
      <c r="F127" s="3" t="s">
        <v>766</v>
      </c>
      <c r="G127" s="3" t="s">
        <v>987</v>
      </c>
      <c r="H127" s="3" t="s">
        <v>767</v>
      </c>
      <c r="I127" s="3"/>
      <c r="J127" s="3"/>
      <c r="K127" s="3" t="s">
        <v>1198</v>
      </c>
    </row>
    <row r="128" spans="1:11" ht="29" x14ac:dyDescent="0.35">
      <c r="A128" s="3" t="s">
        <v>79</v>
      </c>
      <c r="B128" s="3" t="s">
        <v>7</v>
      </c>
      <c r="C128" s="3">
        <v>2022</v>
      </c>
      <c r="D128" s="3" t="s">
        <v>974</v>
      </c>
      <c r="E128" s="3" t="s">
        <v>1199</v>
      </c>
      <c r="F128" s="3" t="s">
        <v>762</v>
      </c>
      <c r="G128" s="3"/>
      <c r="H128" s="3"/>
      <c r="I128" s="3"/>
      <c r="J128" s="3"/>
      <c r="K128" s="3" t="s">
        <v>1023</v>
      </c>
    </row>
    <row r="129" spans="1:11" ht="43.5" x14ac:dyDescent="0.35">
      <c r="A129" s="3" t="s">
        <v>79</v>
      </c>
      <c r="B129" s="3" t="s">
        <v>7</v>
      </c>
      <c r="C129" s="3">
        <v>2022</v>
      </c>
      <c r="D129" s="3" t="s">
        <v>979</v>
      </c>
      <c r="E129" s="3" t="s">
        <v>1200</v>
      </c>
      <c r="F129" s="3" t="s">
        <v>977</v>
      </c>
      <c r="G129" s="3" t="s">
        <v>783</v>
      </c>
      <c r="H129" s="3"/>
      <c r="I129" s="3"/>
      <c r="J129" s="3"/>
      <c r="K129" s="3" t="s">
        <v>1014</v>
      </c>
    </row>
    <row r="130" spans="1:11" ht="43.5" x14ac:dyDescent="0.35">
      <c r="A130" s="3" t="s">
        <v>82</v>
      </c>
      <c r="B130" s="3" t="s">
        <v>44</v>
      </c>
      <c r="C130" s="3">
        <v>2024</v>
      </c>
      <c r="D130" s="3" t="s">
        <v>968</v>
      </c>
      <c r="E130" s="3" t="s">
        <v>1201</v>
      </c>
      <c r="F130" s="3" t="s">
        <v>762</v>
      </c>
      <c r="G130" s="3" t="s">
        <v>783</v>
      </c>
      <c r="H130" s="3"/>
      <c r="I130" s="3"/>
      <c r="J130" s="3"/>
      <c r="K130" s="3" t="s">
        <v>1023</v>
      </c>
    </row>
    <row r="131" spans="1:11" ht="43.5" x14ac:dyDescent="0.35">
      <c r="A131" s="3" t="s">
        <v>84</v>
      </c>
      <c r="B131" s="3" t="s">
        <v>85</v>
      </c>
      <c r="C131" s="3">
        <v>2025</v>
      </c>
      <c r="D131" s="3" t="s">
        <v>968</v>
      </c>
      <c r="E131" s="3" t="s">
        <v>1202</v>
      </c>
      <c r="F131" s="3" t="s">
        <v>762</v>
      </c>
      <c r="G131" s="3" t="s">
        <v>770</v>
      </c>
      <c r="H131" s="3"/>
      <c r="I131" s="3"/>
      <c r="J131" s="3"/>
      <c r="K131" s="3" t="s">
        <v>1203</v>
      </c>
    </row>
    <row r="132" spans="1:11" ht="29" x14ac:dyDescent="0.35">
      <c r="A132" s="3" t="s">
        <v>84</v>
      </c>
      <c r="B132" s="3" t="s">
        <v>85</v>
      </c>
      <c r="C132" s="3">
        <v>2025</v>
      </c>
      <c r="D132" s="3" t="s">
        <v>971</v>
      </c>
      <c r="E132" s="3" t="s">
        <v>1204</v>
      </c>
      <c r="F132" s="3" t="s">
        <v>783</v>
      </c>
      <c r="G132" s="3" t="s">
        <v>770</v>
      </c>
      <c r="H132" s="3"/>
      <c r="I132" s="3"/>
      <c r="J132" s="3"/>
      <c r="K132" s="3" t="s">
        <v>1109</v>
      </c>
    </row>
    <row r="133" spans="1:11" ht="29" x14ac:dyDescent="0.35">
      <c r="A133" s="3" t="s">
        <v>88</v>
      </c>
      <c r="B133" s="3" t="s">
        <v>7</v>
      </c>
      <c r="C133" s="3">
        <v>2019</v>
      </c>
      <c r="D133" s="3" t="s">
        <v>968</v>
      </c>
      <c r="E133" s="3" t="s">
        <v>1205</v>
      </c>
      <c r="F133" s="3" t="s">
        <v>775</v>
      </c>
      <c r="G133" s="3" t="s">
        <v>987</v>
      </c>
      <c r="H133" s="3"/>
      <c r="I133" s="3"/>
      <c r="J133" s="3"/>
      <c r="K133" s="3" t="s">
        <v>1206</v>
      </c>
    </row>
    <row r="134" spans="1:11" ht="101.5" x14ac:dyDescent="0.35">
      <c r="A134" s="3" t="s">
        <v>88</v>
      </c>
      <c r="B134" s="3" t="s">
        <v>7</v>
      </c>
      <c r="C134" s="3">
        <v>2019</v>
      </c>
      <c r="D134" s="3" t="s">
        <v>971</v>
      </c>
      <c r="E134" s="3" t="s">
        <v>1207</v>
      </c>
      <c r="F134" s="3" t="s">
        <v>766</v>
      </c>
      <c r="G134" s="3" t="s">
        <v>987</v>
      </c>
      <c r="H134" s="3" t="s">
        <v>767</v>
      </c>
      <c r="I134" s="3"/>
      <c r="J134" s="3"/>
      <c r="K134" s="3" t="s">
        <v>1141</v>
      </c>
    </row>
    <row r="135" spans="1:11" ht="29" x14ac:dyDescent="0.35">
      <c r="A135" s="3" t="s">
        <v>88</v>
      </c>
      <c r="B135" s="3" t="s">
        <v>7</v>
      </c>
      <c r="C135" s="3">
        <v>2019</v>
      </c>
      <c r="D135" s="3" t="s">
        <v>974</v>
      </c>
      <c r="E135" s="3" t="s">
        <v>1208</v>
      </c>
      <c r="F135" s="3" t="s">
        <v>783</v>
      </c>
      <c r="G135" s="3" t="s">
        <v>987</v>
      </c>
      <c r="H135" s="3"/>
      <c r="I135" s="3"/>
      <c r="J135" s="3"/>
      <c r="K135" s="3" t="s">
        <v>1109</v>
      </c>
    </row>
    <row r="136" spans="1:11" ht="29" x14ac:dyDescent="0.35">
      <c r="A136" s="3" t="s">
        <v>88</v>
      </c>
      <c r="B136" s="3" t="s">
        <v>7</v>
      </c>
      <c r="C136" s="3">
        <v>2019</v>
      </c>
      <c r="D136" s="3" t="s">
        <v>979</v>
      </c>
      <c r="E136" s="3" t="s">
        <v>1209</v>
      </c>
      <c r="F136" s="3" t="s">
        <v>759</v>
      </c>
      <c r="G136" s="3" t="s">
        <v>1007</v>
      </c>
      <c r="H136" s="3" t="s">
        <v>762</v>
      </c>
      <c r="I136" s="3"/>
      <c r="J136" s="3"/>
      <c r="K136" s="3" t="s">
        <v>1023</v>
      </c>
    </row>
    <row r="137" spans="1:11" ht="29" x14ac:dyDescent="0.35">
      <c r="A137" s="3" t="s">
        <v>91</v>
      </c>
      <c r="B137" s="3" t="s">
        <v>7</v>
      </c>
      <c r="C137" s="3">
        <v>2020</v>
      </c>
      <c r="D137" s="3" t="s">
        <v>968</v>
      </c>
      <c r="E137" s="3" t="s">
        <v>1210</v>
      </c>
      <c r="F137" s="3" t="s">
        <v>976</v>
      </c>
      <c r="G137" s="3" t="s">
        <v>767</v>
      </c>
      <c r="H137" s="3" t="s">
        <v>770</v>
      </c>
      <c r="I137" s="3"/>
      <c r="J137" s="3"/>
      <c r="K137" s="3" t="s">
        <v>1211</v>
      </c>
    </row>
    <row r="138" spans="1:11" ht="43.5" x14ac:dyDescent="0.35">
      <c r="A138" s="3" t="s">
        <v>91</v>
      </c>
      <c r="B138" s="3" t="s">
        <v>7</v>
      </c>
      <c r="C138" s="3">
        <v>2020</v>
      </c>
      <c r="D138" s="3" t="s">
        <v>971</v>
      </c>
      <c r="E138" s="3" t="s">
        <v>1212</v>
      </c>
      <c r="F138" s="3" t="s">
        <v>783</v>
      </c>
      <c r="G138" s="3" t="s">
        <v>976</v>
      </c>
      <c r="H138" s="3" t="s">
        <v>977</v>
      </c>
      <c r="I138" s="3"/>
      <c r="J138" s="3"/>
      <c r="K138" s="3" t="s">
        <v>1087</v>
      </c>
    </row>
    <row r="139" spans="1:11" ht="29" x14ac:dyDescent="0.35">
      <c r="A139" s="3" t="s">
        <v>94</v>
      </c>
      <c r="B139" s="3" t="s">
        <v>85</v>
      </c>
      <c r="C139" s="3">
        <v>2023</v>
      </c>
      <c r="D139" s="3" t="s">
        <v>968</v>
      </c>
      <c r="E139" s="3" t="s">
        <v>1213</v>
      </c>
      <c r="F139" s="3" t="s">
        <v>759</v>
      </c>
      <c r="G139" s="3" t="s">
        <v>762</v>
      </c>
      <c r="H139" s="3" t="s">
        <v>1064</v>
      </c>
      <c r="I139" s="3" t="s">
        <v>1007</v>
      </c>
      <c r="J139" s="3"/>
      <c r="K139" s="3" t="s">
        <v>1023</v>
      </c>
    </row>
    <row r="140" spans="1:11" ht="29" x14ac:dyDescent="0.35">
      <c r="A140" s="3" t="s">
        <v>97</v>
      </c>
      <c r="B140" s="3" t="s">
        <v>85</v>
      </c>
      <c r="C140" s="3">
        <v>2022</v>
      </c>
      <c r="D140" s="3" t="s">
        <v>968</v>
      </c>
      <c r="E140" s="3" t="s">
        <v>1214</v>
      </c>
      <c r="F140" s="3" t="s">
        <v>759</v>
      </c>
      <c r="G140" s="3" t="s">
        <v>1146</v>
      </c>
      <c r="H140" s="3" t="s">
        <v>977</v>
      </c>
      <c r="I140" s="3"/>
      <c r="J140" s="3"/>
      <c r="K140" s="3" t="s">
        <v>1014</v>
      </c>
    </row>
    <row r="141" spans="1:11" ht="43.5" x14ac:dyDescent="0.35">
      <c r="A141" s="3" t="s">
        <v>97</v>
      </c>
      <c r="B141" s="3" t="s">
        <v>85</v>
      </c>
      <c r="C141" s="3">
        <v>2022</v>
      </c>
      <c r="D141" s="3" t="s">
        <v>971</v>
      </c>
      <c r="E141" s="3" t="s">
        <v>1215</v>
      </c>
      <c r="F141" s="3" t="s">
        <v>977</v>
      </c>
      <c r="G141" s="3" t="s">
        <v>767</v>
      </c>
      <c r="H141" s="3" t="s">
        <v>783</v>
      </c>
      <c r="I141" s="3"/>
      <c r="J141" s="3"/>
      <c r="K141" s="3" t="s">
        <v>1216</v>
      </c>
    </row>
    <row r="142" spans="1:11" ht="29" x14ac:dyDescent="0.35">
      <c r="A142" s="3" t="s">
        <v>100</v>
      </c>
      <c r="B142" s="3" t="s">
        <v>12</v>
      </c>
      <c r="C142" s="3">
        <v>2020</v>
      </c>
      <c r="D142" s="3" t="s">
        <v>968</v>
      </c>
      <c r="E142" s="3" t="s">
        <v>1217</v>
      </c>
      <c r="F142" s="3" t="s">
        <v>789</v>
      </c>
      <c r="G142" s="3" t="s">
        <v>770</v>
      </c>
      <c r="H142" s="3"/>
      <c r="I142" s="3"/>
      <c r="J142" s="3"/>
      <c r="K142" s="3" t="s">
        <v>1218</v>
      </c>
    </row>
    <row r="143" spans="1:11" ht="29" x14ac:dyDescent="0.35">
      <c r="A143" s="3" t="s">
        <v>100</v>
      </c>
      <c r="B143" s="3" t="s">
        <v>12</v>
      </c>
      <c r="C143" s="3">
        <v>2020</v>
      </c>
      <c r="D143" s="3" t="s">
        <v>971</v>
      </c>
      <c r="E143" s="3" t="s">
        <v>1219</v>
      </c>
      <c r="F143" s="3" t="s">
        <v>775</v>
      </c>
      <c r="G143" s="3" t="s">
        <v>789</v>
      </c>
      <c r="H143" s="3" t="s">
        <v>770</v>
      </c>
      <c r="I143" s="3"/>
      <c r="J143" s="3"/>
      <c r="K143" s="3" t="s">
        <v>1220</v>
      </c>
    </row>
    <row r="144" spans="1:11" ht="29" x14ac:dyDescent="0.35">
      <c r="A144" s="3" t="s">
        <v>100</v>
      </c>
      <c r="B144" s="3" t="s">
        <v>12</v>
      </c>
      <c r="C144" s="3">
        <v>2020</v>
      </c>
      <c r="D144" s="3" t="s">
        <v>974</v>
      </c>
      <c r="E144" s="3" t="s">
        <v>1221</v>
      </c>
      <c r="F144" s="3" t="s">
        <v>775</v>
      </c>
      <c r="G144" s="3" t="s">
        <v>976</v>
      </c>
      <c r="H144" s="3" t="s">
        <v>772</v>
      </c>
      <c r="I144" s="3"/>
      <c r="J144" s="3"/>
      <c r="K144" s="3" t="s">
        <v>1222</v>
      </c>
    </row>
    <row r="145" spans="1:11" ht="58" x14ac:dyDescent="0.35">
      <c r="A145" s="3" t="s">
        <v>100</v>
      </c>
      <c r="B145" s="3" t="s">
        <v>12</v>
      </c>
      <c r="C145" s="3">
        <v>2020</v>
      </c>
      <c r="D145" s="3" t="s">
        <v>979</v>
      </c>
      <c r="E145" s="3" t="s">
        <v>1223</v>
      </c>
      <c r="F145" s="3" t="s">
        <v>756</v>
      </c>
      <c r="G145" s="3" t="s">
        <v>775</v>
      </c>
      <c r="H145" s="3" t="s">
        <v>1224</v>
      </c>
      <c r="I145" s="3"/>
      <c r="J145" s="3"/>
      <c r="K145" s="3" t="s">
        <v>1225</v>
      </c>
    </row>
    <row r="146" spans="1:11" ht="43.5" x14ac:dyDescent="0.35">
      <c r="A146" s="3" t="s">
        <v>100</v>
      </c>
      <c r="B146" s="3" t="s">
        <v>12</v>
      </c>
      <c r="C146" s="3">
        <v>2020</v>
      </c>
      <c r="D146" s="3" t="s">
        <v>991</v>
      </c>
      <c r="E146" s="3" t="s">
        <v>1226</v>
      </c>
      <c r="F146" s="3" t="s">
        <v>775</v>
      </c>
      <c r="G146" s="3" t="s">
        <v>1186</v>
      </c>
      <c r="H146" s="3" t="s">
        <v>976</v>
      </c>
      <c r="I146" s="3"/>
      <c r="J146" s="3"/>
      <c r="K146" s="3" t="s">
        <v>1227</v>
      </c>
    </row>
    <row r="147" spans="1:11" ht="29" x14ac:dyDescent="0.35">
      <c r="A147" s="3" t="s">
        <v>102</v>
      </c>
      <c r="B147" s="3" t="s">
        <v>12</v>
      </c>
      <c r="C147" s="3">
        <v>2019</v>
      </c>
      <c r="D147" s="3" t="s">
        <v>968</v>
      </c>
      <c r="E147" s="3" t="s">
        <v>1228</v>
      </c>
      <c r="F147" s="3" t="s">
        <v>762</v>
      </c>
      <c r="G147" s="3" t="s">
        <v>756</v>
      </c>
      <c r="H147" s="3"/>
      <c r="I147" s="3"/>
      <c r="J147" s="3"/>
      <c r="K147" s="3" t="s">
        <v>1023</v>
      </c>
    </row>
    <row r="148" spans="1:11" ht="29" x14ac:dyDescent="0.35">
      <c r="A148" s="3" t="s">
        <v>102</v>
      </c>
      <c r="B148" s="3" t="s">
        <v>12</v>
      </c>
      <c r="C148" s="3">
        <v>2019</v>
      </c>
      <c r="D148" s="3" t="s">
        <v>971</v>
      </c>
      <c r="E148" s="3" t="s">
        <v>1229</v>
      </c>
      <c r="F148" s="3" t="s">
        <v>762</v>
      </c>
      <c r="G148" s="3" t="s">
        <v>1064</v>
      </c>
      <c r="H148" s="3" t="s">
        <v>783</v>
      </c>
      <c r="I148" s="3"/>
      <c r="J148" s="3"/>
      <c r="K148" s="3" t="s">
        <v>1023</v>
      </c>
    </row>
    <row r="149" spans="1:11" ht="29" x14ac:dyDescent="0.35">
      <c r="A149" s="3" t="s">
        <v>102</v>
      </c>
      <c r="B149" s="3" t="s">
        <v>12</v>
      </c>
      <c r="C149" s="3">
        <v>2019</v>
      </c>
      <c r="D149" s="3" t="s">
        <v>974</v>
      </c>
      <c r="E149" s="3" t="s">
        <v>1230</v>
      </c>
      <c r="F149" s="3" t="s">
        <v>977</v>
      </c>
      <c r="G149" s="3" t="s">
        <v>783</v>
      </c>
      <c r="H149" s="3"/>
      <c r="I149" s="3"/>
      <c r="J149" s="3"/>
      <c r="K149" s="3" t="s">
        <v>1231</v>
      </c>
    </row>
    <row r="150" spans="1:11" ht="29" x14ac:dyDescent="0.35">
      <c r="A150" s="3" t="s">
        <v>102</v>
      </c>
      <c r="B150" s="3" t="s">
        <v>12</v>
      </c>
      <c r="C150" s="3">
        <v>2019</v>
      </c>
      <c r="D150" s="3" t="s">
        <v>979</v>
      </c>
      <c r="E150" s="3" t="s">
        <v>1232</v>
      </c>
      <c r="F150" s="3" t="s">
        <v>759</v>
      </c>
      <c r="G150" s="3" t="s">
        <v>977</v>
      </c>
      <c r="H150" s="3" t="s">
        <v>783</v>
      </c>
      <c r="I150" s="3"/>
      <c r="J150" s="3"/>
      <c r="K150" s="3" t="s">
        <v>1165</v>
      </c>
    </row>
    <row r="151" spans="1:11" ht="29" x14ac:dyDescent="0.35">
      <c r="A151" s="3" t="s">
        <v>102</v>
      </c>
      <c r="B151" s="3" t="s">
        <v>12</v>
      </c>
      <c r="C151" s="3">
        <v>2019</v>
      </c>
      <c r="D151" s="3" t="s">
        <v>991</v>
      </c>
      <c r="E151" s="3" t="s">
        <v>1233</v>
      </c>
      <c r="F151" s="3" t="s">
        <v>1234</v>
      </c>
      <c r="G151" s="3" t="s">
        <v>767</v>
      </c>
      <c r="H151" s="3"/>
      <c r="I151" s="3"/>
      <c r="J151" s="3"/>
      <c r="K151" s="3" t="s">
        <v>1109</v>
      </c>
    </row>
    <row r="152" spans="1:11" ht="29" x14ac:dyDescent="0.35">
      <c r="A152" s="3" t="s">
        <v>102</v>
      </c>
      <c r="B152" s="3" t="s">
        <v>12</v>
      </c>
      <c r="C152" s="3">
        <v>2019</v>
      </c>
      <c r="D152" s="3" t="s">
        <v>995</v>
      </c>
      <c r="E152" s="3" t="s">
        <v>1235</v>
      </c>
      <c r="F152" s="3" t="s">
        <v>775</v>
      </c>
      <c r="G152" s="3" t="s">
        <v>976</v>
      </c>
      <c r="H152" s="3" t="s">
        <v>772</v>
      </c>
      <c r="I152" s="3"/>
      <c r="J152" s="3"/>
      <c r="K152" s="3" t="s">
        <v>1193</v>
      </c>
    </row>
    <row r="153" spans="1:11" ht="29" x14ac:dyDescent="0.35">
      <c r="A153" s="3" t="s">
        <v>102</v>
      </c>
      <c r="B153" s="3" t="s">
        <v>12</v>
      </c>
      <c r="C153" s="3">
        <v>2019</v>
      </c>
      <c r="D153" s="3" t="s">
        <v>998</v>
      </c>
      <c r="E153" s="3" t="s">
        <v>1236</v>
      </c>
      <c r="F153" s="3" t="s">
        <v>767</v>
      </c>
      <c r="G153" s="3" t="s">
        <v>772</v>
      </c>
      <c r="H153" s="3" t="s">
        <v>770</v>
      </c>
      <c r="I153" s="3"/>
      <c r="J153" s="3"/>
      <c r="K153" s="3" t="s">
        <v>1193</v>
      </c>
    </row>
    <row r="154" spans="1:11" ht="29" x14ac:dyDescent="0.35">
      <c r="A154" s="3" t="s">
        <v>102</v>
      </c>
      <c r="B154" s="3" t="s">
        <v>12</v>
      </c>
      <c r="C154" s="3">
        <v>2019</v>
      </c>
      <c r="D154" s="3" t="s">
        <v>1001</v>
      </c>
      <c r="E154" s="3" t="s">
        <v>1237</v>
      </c>
      <c r="F154" s="3" t="s">
        <v>766</v>
      </c>
      <c r="G154" s="3" t="s">
        <v>767</v>
      </c>
      <c r="H154" s="3"/>
      <c r="I154" s="3"/>
      <c r="J154" s="3"/>
      <c r="K154" s="3" t="s">
        <v>1238</v>
      </c>
    </row>
    <row r="155" spans="1:11" ht="29" x14ac:dyDescent="0.35">
      <c r="A155" s="3" t="s">
        <v>102</v>
      </c>
      <c r="B155" s="3" t="s">
        <v>12</v>
      </c>
      <c r="C155" s="3">
        <v>2019</v>
      </c>
      <c r="D155" s="3" t="s">
        <v>1005</v>
      </c>
      <c r="E155" s="3" t="s">
        <v>1239</v>
      </c>
      <c r="F155" s="3" t="s">
        <v>767</v>
      </c>
      <c r="G155" s="3" t="s">
        <v>775</v>
      </c>
      <c r="H155" s="3"/>
      <c r="I155" s="3"/>
      <c r="J155" s="3"/>
      <c r="K155" s="3" t="s">
        <v>1240</v>
      </c>
    </row>
    <row r="156" spans="1:11" ht="29" x14ac:dyDescent="0.35">
      <c r="A156" s="3" t="s">
        <v>102</v>
      </c>
      <c r="B156" s="3" t="s">
        <v>12</v>
      </c>
      <c r="C156" s="3">
        <v>2019</v>
      </c>
      <c r="D156" s="3" t="s">
        <v>1009</v>
      </c>
      <c r="E156" s="3" t="s">
        <v>1241</v>
      </c>
      <c r="F156" s="3" t="s">
        <v>767</v>
      </c>
      <c r="G156" s="3" t="s">
        <v>775</v>
      </c>
      <c r="H156" s="3"/>
      <c r="I156" s="3"/>
      <c r="J156" s="3"/>
      <c r="K156" s="3" t="s">
        <v>1240</v>
      </c>
    </row>
    <row r="157" spans="1:11" ht="29" x14ac:dyDescent="0.35">
      <c r="A157" s="3" t="s">
        <v>102</v>
      </c>
      <c r="B157" s="3" t="s">
        <v>12</v>
      </c>
      <c r="C157" s="3">
        <v>2019</v>
      </c>
      <c r="D157" s="3" t="s">
        <v>1012</v>
      </c>
      <c r="E157" s="3" t="s">
        <v>1242</v>
      </c>
      <c r="F157" s="3" t="s">
        <v>789</v>
      </c>
      <c r="G157" s="3" t="s">
        <v>767</v>
      </c>
      <c r="H157" s="3" t="s">
        <v>762</v>
      </c>
      <c r="I157" s="3"/>
      <c r="J157" s="3"/>
      <c r="K157" s="3" t="s">
        <v>1023</v>
      </c>
    </row>
    <row r="158" spans="1:11" ht="29" x14ac:dyDescent="0.35">
      <c r="A158" s="3" t="s">
        <v>102</v>
      </c>
      <c r="B158" s="3" t="s">
        <v>12</v>
      </c>
      <c r="C158" s="3">
        <v>2019</v>
      </c>
      <c r="D158" s="3" t="s">
        <v>1015</v>
      </c>
      <c r="E158" s="3" t="s">
        <v>1243</v>
      </c>
      <c r="F158" s="3" t="s">
        <v>766</v>
      </c>
      <c r="G158" s="3" t="s">
        <v>775</v>
      </c>
      <c r="H158" s="3"/>
      <c r="I158" s="3"/>
      <c r="J158" s="3"/>
      <c r="K158" s="3" t="s">
        <v>1107</v>
      </c>
    </row>
    <row r="159" spans="1:11" ht="29" x14ac:dyDescent="0.35">
      <c r="A159" s="3" t="s">
        <v>102</v>
      </c>
      <c r="B159" s="3" t="s">
        <v>12</v>
      </c>
      <c r="C159" s="3">
        <v>2019</v>
      </c>
      <c r="D159" s="3" t="s">
        <v>1018</v>
      </c>
      <c r="E159" s="3" t="s">
        <v>1244</v>
      </c>
      <c r="F159" s="3" t="s">
        <v>762</v>
      </c>
      <c r="G159" s="3"/>
      <c r="H159" s="3"/>
      <c r="I159" s="3"/>
      <c r="J159" s="3"/>
      <c r="K159" s="3" t="s">
        <v>1023</v>
      </c>
    </row>
    <row r="160" spans="1:11" ht="29" x14ac:dyDescent="0.35">
      <c r="A160" s="3" t="s">
        <v>104</v>
      </c>
      <c r="B160" s="3" t="s">
        <v>12</v>
      </c>
      <c r="C160" s="3">
        <v>2018</v>
      </c>
      <c r="D160" s="3" t="s">
        <v>968</v>
      </c>
      <c r="E160" s="3" t="s">
        <v>1245</v>
      </c>
      <c r="F160" s="3" t="s">
        <v>775</v>
      </c>
      <c r="G160" s="3" t="s">
        <v>767</v>
      </c>
      <c r="H160" s="3"/>
      <c r="I160" s="3"/>
      <c r="J160" s="3"/>
      <c r="K160" s="3" t="s">
        <v>1246</v>
      </c>
    </row>
    <row r="161" spans="1:11" ht="29" x14ac:dyDescent="0.35">
      <c r="A161" s="3" t="s">
        <v>104</v>
      </c>
      <c r="B161" s="3" t="s">
        <v>12</v>
      </c>
      <c r="C161" s="3">
        <v>2018</v>
      </c>
      <c r="D161" s="3" t="s">
        <v>971</v>
      </c>
      <c r="E161" s="3" t="s">
        <v>1247</v>
      </c>
      <c r="F161" s="3" t="s">
        <v>767</v>
      </c>
      <c r="G161" s="3" t="s">
        <v>783</v>
      </c>
      <c r="H161" s="3"/>
      <c r="I161" s="3"/>
      <c r="J161" s="3"/>
      <c r="K161" s="3" t="s">
        <v>1109</v>
      </c>
    </row>
    <row r="162" spans="1:11" ht="58" x14ac:dyDescent="0.35">
      <c r="A162" s="3" t="s">
        <v>104</v>
      </c>
      <c r="B162" s="3" t="s">
        <v>12</v>
      </c>
      <c r="C162" s="3">
        <v>2018</v>
      </c>
      <c r="D162" s="3" t="s">
        <v>974</v>
      </c>
      <c r="E162" s="3" t="s">
        <v>1248</v>
      </c>
      <c r="F162" s="3" t="s">
        <v>767</v>
      </c>
      <c r="G162" s="3" t="s">
        <v>789</v>
      </c>
      <c r="H162" s="3" t="s">
        <v>772</v>
      </c>
      <c r="I162" s="3" t="s">
        <v>770</v>
      </c>
      <c r="J162" s="3" t="s">
        <v>977</v>
      </c>
      <c r="K162" s="3" t="s">
        <v>1249</v>
      </c>
    </row>
    <row r="163" spans="1:11" ht="43.5" x14ac:dyDescent="0.35">
      <c r="A163" s="3" t="s">
        <v>104</v>
      </c>
      <c r="B163" s="3" t="s">
        <v>12</v>
      </c>
      <c r="C163" s="3">
        <v>2018</v>
      </c>
      <c r="D163" s="3" t="s">
        <v>979</v>
      </c>
      <c r="E163" s="3" t="s">
        <v>1250</v>
      </c>
      <c r="F163" s="3" t="s">
        <v>762</v>
      </c>
      <c r="G163" s="3" t="s">
        <v>783</v>
      </c>
      <c r="H163" s="3" t="s">
        <v>1046</v>
      </c>
      <c r="I163" s="3" t="s">
        <v>1064</v>
      </c>
      <c r="J163" s="3"/>
      <c r="K163" s="3" t="s">
        <v>1109</v>
      </c>
    </row>
    <row r="164" spans="1:11" ht="29" x14ac:dyDescent="0.35">
      <c r="A164" s="3" t="s">
        <v>108</v>
      </c>
      <c r="B164" s="3" t="s">
        <v>7</v>
      </c>
      <c r="C164" s="3">
        <v>2023</v>
      </c>
      <c r="D164" s="3" t="s">
        <v>968</v>
      </c>
      <c r="E164" s="3" t="s">
        <v>1251</v>
      </c>
      <c r="F164" s="3" t="s">
        <v>783</v>
      </c>
      <c r="G164" s="3" t="s">
        <v>987</v>
      </c>
      <c r="H164" s="3"/>
      <c r="I164" s="3"/>
      <c r="J164" s="3"/>
      <c r="K164" s="3" t="s">
        <v>1014</v>
      </c>
    </row>
    <row r="165" spans="1:11" ht="58" x14ac:dyDescent="0.35">
      <c r="A165" s="3" t="s">
        <v>108</v>
      </c>
      <c r="B165" s="3" t="s">
        <v>7</v>
      </c>
      <c r="C165" s="3">
        <v>2023</v>
      </c>
      <c r="D165" s="3" t="s">
        <v>971</v>
      </c>
      <c r="E165" s="3" t="s">
        <v>1252</v>
      </c>
      <c r="F165" s="3" t="s">
        <v>1253</v>
      </c>
      <c r="G165" s="3" t="s">
        <v>1254</v>
      </c>
      <c r="H165" s="3" t="s">
        <v>1255</v>
      </c>
      <c r="I165" s="3"/>
      <c r="J165" s="3"/>
      <c r="K165" s="3" t="s">
        <v>1101</v>
      </c>
    </row>
    <row r="166" spans="1:11" ht="43.5" x14ac:dyDescent="0.35">
      <c r="A166" s="3" t="s">
        <v>111</v>
      </c>
      <c r="B166" s="3" t="s">
        <v>44</v>
      </c>
      <c r="C166" s="3">
        <v>2025</v>
      </c>
      <c r="D166" s="3" t="s">
        <v>968</v>
      </c>
      <c r="E166" s="3" t="s">
        <v>1256</v>
      </c>
      <c r="F166" s="3" t="s">
        <v>769</v>
      </c>
      <c r="G166" s="3" t="s">
        <v>1105</v>
      </c>
      <c r="H166" s="3"/>
      <c r="I166" s="3"/>
      <c r="J166" s="3"/>
      <c r="K166" s="3" t="s">
        <v>1173</v>
      </c>
    </row>
    <row r="167" spans="1:11" ht="29" x14ac:dyDescent="0.35">
      <c r="A167" s="3" t="s">
        <v>111</v>
      </c>
      <c r="B167" s="3" t="s">
        <v>44</v>
      </c>
      <c r="C167" s="3">
        <v>2025</v>
      </c>
      <c r="D167" s="3" t="s">
        <v>971</v>
      </c>
      <c r="E167" s="3" t="s">
        <v>1257</v>
      </c>
      <c r="F167" s="3" t="s">
        <v>767</v>
      </c>
      <c r="G167" s="3"/>
      <c r="H167" s="3"/>
      <c r="I167" s="3"/>
      <c r="J167" s="3"/>
      <c r="K167" s="3" t="s">
        <v>1258</v>
      </c>
    </row>
    <row r="168" spans="1:11" ht="29" x14ac:dyDescent="0.35">
      <c r="A168" s="3" t="s">
        <v>111</v>
      </c>
      <c r="B168" s="3" t="s">
        <v>44</v>
      </c>
      <c r="C168" s="3">
        <v>2025</v>
      </c>
      <c r="D168" s="3" t="s">
        <v>974</v>
      </c>
      <c r="E168" s="3" t="s">
        <v>1259</v>
      </c>
      <c r="F168" s="3" t="s">
        <v>767</v>
      </c>
      <c r="G168" s="3" t="s">
        <v>766</v>
      </c>
      <c r="H168" s="3"/>
      <c r="I168" s="3"/>
      <c r="J168" s="3"/>
      <c r="K168" s="3" t="s">
        <v>978</v>
      </c>
    </row>
    <row r="169" spans="1:11" ht="29" x14ac:dyDescent="0.35">
      <c r="A169" s="3" t="s">
        <v>111</v>
      </c>
      <c r="B169" s="3" t="s">
        <v>44</v>
      </c>
      <c r="C169" s="3">
        <v>2025</v>
      </c>
      <c r="D169" s="3" t="s">
        <v>979</v>
      </c>
      <c r="E169" s="3" t="s">
        <v>1260</v>
      </c>
      <c r="F169" s="3" t="s">
        <v>759</v>
      </c>
      <c r="G169" s="3"/>
      <c r="H169" s="3"/>
      <c r="I169" s="3"/>
      <c r="J169" s="3"/>
      <c r="K169" s="3" t="s">
        <v>1087</v>
      </c>
    </row>
    <row r="170" spans="1:11" ht="58" x14ac:dyDescent="0.35">
      <c r="A170" s="3" t="s">
        <v>114</v>
      </c>
      <c r="B170" s="3" t="s">
        <v>12</v>
      </c>
      <c r="C170" s="3">
        <v>2023</v>
      </c>
      <c r="D170" s="3" t="s">
        <v>968</v>
      </c>
      <c r="E170" s="3" t="s">
        <v>1261</v>
      </c>
      <c r="F170" s="3" t="s">
        <v>775</v>
      </c>
      <c r="G170" s="3" t="s">
        <v>770</v>
      </c>
      <c r="H170" s="3" t="s">
        <v>789</v>
      </c>
      <c r="I170" s="3" t="s">
        <v>1137</v>
      </c>
      <c r="J170" s="3"/>
      <c r="K170" s="3" t="s">
        <v>1141</v>
      </c>
    </row>
    <row r="171" spans="1:11" ht="29" x14ac:dyDescent="0.35">
      <c r="A171" s="3" t="s">
        <v>114</v>
      </c>
      <c r="B171" s="3" t="s">
        <v>12</v>
      </c>
      <c r="C171" s="3">
        <v>2023</v>
      </c>
      <c r="D171" s="3" t="s">
        <v>971</v>
      </c>
      <c r="E171" s="3" t="s">
        <v>1262</v>
      </c>
      <c r="F171" s="3" t="s">
        <v>770</v>
      </c>
      <c r="G171" s="3" t="s">
        <v>783</v>
      </c>
      <c r="H171" s="3" t="s">
        <v>762</v>
      </c>
      <c r="I171" s="3"/>
      <c r="J171" s="3"/>
      <c r="K171" s="3" t="s">
        <v>1109</v>
      </c>
    </row>
    <row r="172" spans="1:11" ht="43.5" x14ac:dyDescent="0.35">
      <c r="A172" s="3" t="s">
        <v>114</v>
      </c>
      <c r="B172" s="3" t="s">
        <v>12</v>
      </c>
      <c r="C172" s="3">
        <v>2023</v>
      </c>
      <c r="D172" s="3" t="s">
        <v>974</v>
      </c>
      <c r="E172" s="3" t="s">
        <v>1263</v>
      </c>
      <c r="F172" s="3" t="s">
        <v>767</v>
      </c>
      <c r="G172" s="3" t="s">
        <v>786</v>
      </c>
      <c r="H172" s="3"/>
      <c r="I172" s="3"/>
      <c r="J172" s="3"/>
      <c r="K172" s="3" t="s">
        <v>1078</v>
      </c>
    </row>
    <row r="173" spans="1:11" ht="43.5" x14ac:dyDescent="0.35">
      <c r="A173" s="3" t="s">
        <v>114</v>
      </c>
      <c r="B173" s="3" t="s">
        <v>12</v>
      </c>
      <c r="C173" s="3">
        <v>2023</v>
      </c>
      <c r="D173" s="3" t="s">
        <v>979</v>
      </c>
      <c r="E173" s="3" t="s">
        <v>1264</v>
      </c>
      <c r="F173" s="3" t="s">
        <v>767</v>
      </c>
      <c r="G173" s="3" t="s">
        <v>770</v>
      </c>
      <c r="H173" s="3"/>
      <c r="I173" s="3"/>
      <c r="J173" s="3"/>
      <c r="K173" s="3" t="s">
        <v>1203</v>
      </c>
    </row>
    <row r="174" spans="1:11" ht="43.5" x14ac:dyDescent="0.35">
      <c r="A174" s="3" t="s">
        <v>114</v>
      </c>
      <c r="B174" s="3" t="s">
        <v>12</v>
      </c>
      <c r="C174" s="3">
        <v>2023</v>
      </c>
      <c r="D174" s="3" t="s">
        <v>991</v>
      </c>
      <c r="E174" s="3" t="s">
        <v>1265</v>
      </c>
      <c r="F174" s="3" t="s">
        <v>770</v>
      </c>
      <c r="G174" s="3"/>
      <c r="H174" s="3"/>
      <c r="I174" s="3"/>
      <c r="J174" s="3"/>
      <c r="K174" s="3" t="s">
        <v>997</v>
      </c>
    </row>
    <row r="175" spans="1:11" ht="43.5" x14ac:dyDescent="0.35">
      <c r="A175" s="3" t="s">
        <v>114</v>
      </c>
      <c r="B175" s="3" t="s">
        <v>12</v>
      </c>
      <c r="C175" s="3">
        <v>2023</v>
      </c>
      <c r="D175" s="3" t="s">
        <v>995</v>
      </c>
      <c r="E175" s="3" t="s">
        <v>1266</v>
      </c>
      <c r="F175" s="3" t="s">
        <v>770</v>
      </c>
      <c r="G175" s="3"/>
      <c r="H175" s="3"/>
      <c r="I175" s="3"/>
      <c r="J175" s="3"/>
      <c r="K175" s="3" t="s">
        <v>997</v>
      </c>
    </row>
    <row r="176" spans="1:11" ht="58" x14ac:dyDescent="0.35">
      <c r="A176" s="3" t="s">
        <v>114</v>
      </c>
      <c r="B176" s="3" t="s">
        <v>12</v>
      </c>
      <c r="C176" s="3">
        <v>2023</v>
      </c>
      <c r="D176" s="3" t="s">
        <v>998</v>
      </c>
      <c r="E176" s="3" t="s">
        <v>1267</v>
      </c>
      <c r="F176" s="3" t="s">
        <v>766</v>
      </c>
      <c r="G176" s="3"/>
      <c r="H176" s="3"/>
      <c r="I176" s="3"/>
      <c r="J176" s="3"/>
      <c r="K176" s="3" t="s">
        <v>1119</v>
      </c>
    </row>
    <row r="177" spans="1:11" ht="58" x14ac:dyDescent="0.35">
      <c r="A177" s="3" t="s">
        <v>114</v>
      </c>
      <c r="B177" s="3" t="s">
        <v>12</v>
      </c>
      <c r="C177" s="3">
        <v>2023</v>
      </c>
      <c r="D177" s="3" t="s">
        <v>1001</v>
      </c>
      <c r="E177" s="3" t="s">
        <v>1268</v>
      </c>
      <c r="F177" s="3" t="s">
        <v>767</v>
      </c>
      <c r="G177" s="3" t="s">
        <v>772</v>
      </c>
      <c r="H177" s="3" t="s">
        <v>766</v>
      </c>
      <c r="I177" s="3"/>
      <c r="J177" s="3"/>
      <c r="K177" s="3" t="s">
        <v>1078</v>
      </c>
    </row>
    <row r="178" spans="1:11" ht="29" x14ac:dyDescent="0.35">
      <c r="A178" s="3" t="s">
        <v>114</v>
      </c>
      <c r="B178" s="3" t="s">
        <v>12</v>
      </c>
      <c r="C178" s="3">
        <v>2023</v>
      </c>
      <c r="D178" s="3" t="s">
        <v>1005</v>
      </c>
      <c r="E178" s="3" t="s">
        <v>1269</v>
      </c>
      <c r="F178" s="3" t="s">
        <v>766</v>
      </c>
      <c r="G178" s="3" t="s">
        <v>767</v>
      </c>
      <c r="H178" s="3" t="s">
        <v>772</v>
      </c>
      <c r="I178" s="3"/>
      <c r="J178" s="3"/>
      <c r="K178" s="3" t="s">
        <v>1193</v>
      </c>
    </row>
    <row r="179" spans="1:11" ht="43.5" x14ac:dyDescent="0.35">
      <c r="A179" s="3" t="s">
        <v>114</v>
      </c>
      <c r="B179" s="3" t="s">
        <v>12</v>
      </c>
      <c r="C179" s="3">
        <v>2023</v>
      </c>
      <c r="D179" s="3" t="s">
        <v>1009</v>
      </c>
      <c r="E179" s="3" t="s">
        <v>1270</v>
      </c>
      <c r="F179" s="3" t="s">
        <v>1271</v>
      </c>
      <c r="G179" s="3" t="s">
        <v>767</v>
      </c>
      <c r="H179" s="3" t="s">
        <v>775</v>
      </c>
      <c r="I179" s="3"/>
      <c r="J179" s="3"/>
      <c r="K179" s="3" t="s">
        <v>1107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8B294-CD1A-4269-A0CF-C121B6D55C83}">
  <dimension ref="A1:N479"/>
  <sheetViews>
    <sheetView zoomScale="50" zoomScaleNormal="40" workbookViewId="0">
      <selection sqref="A1:B1"/>
    </sheetView>
  </sheetViews>
  <sheetFormatPr baseColWidth="10" defaultRowHeight="14.5" x14ac:dyDescent="0.35"/>
  <cols>
    <col min="2" max="2" width="27.54296875" customWidth="1"/>
    <col min="3" max="3" width="18.6328125" customWidth="1"/>
    <col min="4" max="4" width="19.08984375" customWidth="1"/>
    <col min="5" max="5" width="46.453125" customWidth="1"/>
    <col min="6" max="6" width="30.08984375" customWidth="1"/>
    <col min="7" max="7" width="29.81640625" customWidth="1"/>
    <col min="8" max="8" width="32.453125" customWidth="1"/>
    <col min="9" max="9" width="37.26953125" customWidth="1"/>
    <col min="10" max="10" width="24.6328125" customWidth="1"/>
    <col min="11" max="11" width="32.453125" customWidth="1"/>
    <col min="12" max="12" width="36.26953125" customWidth="1"/>
    <col min="13" max="13" width="20.7265625" customWidth="1"/>
    <col min="14" max="14" width="69.26953125" customWidth="1"/>
  </cols>
  <sheetData>
    <row r="1" spans="1:14" ht="29" x14ac:dyDescent="0.35">
      <c r="A1" s="9" t="s">
        <v>741</v>
      </c>
      <c r="B1" s="9" t="s">
        <v>2</v>
      </c>
      <c r="C1" s="9" t="s">
        <v>742</v>
      </c>
      <c r="D1" s="9" t="s">
        <v>743</v>
      </c>
      <c r="E1" s="9" t="s">
        <v>744</v>
      </c>
      <c r="F1" s="9" t="s">
        <v>745</v>
      </c>
      <c r="G1" s="9" t="s">
        <v>746</v>
      </c>
      <c r="H1" s="9" t="s">
        <v>747</v>
      </c>
      <c r="I1" s="9" t="s">
        <v>748</v>
      </c>
      <c r="J1" s="9" t="s">
        <v>749</v>
      </c>
      <c r="K1" s="9" t="s">
        <v>1272</v>
      </c>
      <c r="L1" s="29" t="s">
        <v>1474</v>
      </c>
      <c r="M1" s="29" t="s">
        <v>1476</v>
      </c>
      <c r="N1" s="29" t="s">
        <v>1475</v>
      </c>
    </row>
    <row r="2" spans="1:14" ht="58" x14ac:dyDescent="0.35">
      <c r="A2" s="3" t="s">
        <v>6</v>
      </c>
      <c r="B2" s="3" t="s">
        <v>7</v>
      </c>
      <c r="C2" s="3" t="s">
        <v>750</v>
      </c>
      <c r="D2" s="3" t="s">
        <v>751</v>
      </c>
      <c r="E2" s="3" t="s">
        <v>752</v>
      </c>
      <c r="F2" s="3" t="s">
        <v>753</v>
      </c>
      <c r="G2" s="3" t="s">
        <v>10</v>
      </c>
      <c r="H2" s="3" t="s">
        <v>10</v>
      </c>
      <c r="I2" s="3" t="s">
        <v>10</v>
      </c>
      <c r="J2" s="3" t="s">
        <v>10</v>
      </c>
      <c r="K2" s="3" t="s">
        <v>1178</v>
      </c>
      <c r="L2" s="30" t="str" cm="1">
        <f t="array" ref="L2:L89">_xlfn.UNIQUE(K2:K164)</f>
        <v>sample_representativeness</v>
      </c>
      <c r="M2" s="30">
        <f>COUNTIF(K2:K164,L2)</f>
        <v>4</v>
      </c>
      <c r="N2" s="31" t="str" cm="1">
        <f t="array" ref="N2">_xlfn.TEXTJOIN(", ",TRUE,_xlfn._xlws.FILTER(A2:A164,K2:K164=L2))</f>
        <v>A1, B13, B13, C2</v>
      </c>
    </row>
    <row r="3" spans="1:14" ht="58" x14ac:dyDescent="0.35">
      <c r="A3" s="3" t="s">
        <v>11</v>
      </c>
      <c r="B3" s="3" t="s">
        <v>12</v>
      </c>
      <c r="C3" s="3" t="s">
        <v>754</v>
      </c>
      <c r="D3" s="3" t="s">
        <v>751</v>
      </c>
      <c r="E3" s="3" t="s">
        <v>755</v>
      </c>
      <c r="F3" s="3" t="s">
        <v>756</v>
      </c>
      <c r="G3" s="3" t="s">
        <v>10</v>
      </c>
      <c r="H3" s="3" t="s">
        <v>10</v>
      </c>
      <c r="I3" s="3" t="s">
        <v>10</v>
      </c>
      <c r="J3" s="3" t="s">
        <v>10</v>
      </c>
      <c r="K3" s="3" t="s">
        <v>1384</v>
      </c>
      <c r="L3" s="31" t="str">
        <v>theory_practice_disconnect</v>
      </c>
      <c r="M3" s="30">
        <f t="shared" ref="M3:M66" si="0">COUNTIF(K3:K165,L3)</f>
        <v>1</v>
      </c>
      <c r="N3" s="31" t="str" cm="1">
        <f t="array" ref="N3">_xlfn.TEXTJOIN(", ",TRUE,_xlfn._xlws.FILTER(A3:A165,K3:K165=L3))</f>
        <v>A3</v>
      </c>
    </row>
    <row r="4" spans="1:14" ht="29" x14ac:dyDescent="0.35">
      <c r="A4" s="3" t="s">
        <v>11</v>
      </c>
      <c r="B4" s="3" t="s">
        <v>12</v>
      </c>
      <c r="C4" s="3" t="s">
        <v>754</v>
      </c>
      <c r="D4" s="3" t="s">
        <v>757</v>
      </c>
      <c r="E4" s="3" t="s">
        <v>758</v>
      </c>
      <c r="F4" s="3" t="s">
        <v>759</v>
      </c>
      <c r="G4" s="3" t="s">
        <v>10</v>
      </c>
      <c r="H4" s="3" t="s">
        <v>10</v>
      </c>
      <c r="I4" s="3" t="s">
        <v>10</v>
      </c>
      <c r="J4" s="3" t="s">
        <v>10</v>
      </c>
      <c r="K4" s="3" t="s">
        <v>1385</v>
      </c>
      <c r="L4" s="31" t="str">
        <v>unstandardized_metrics</v>
      </c>
      <c r="M4" s="30">
        <f t="shared" si="0"/>
        <v>2</v>
      </c>
      <c r="N4" s="31" t="str" cm="1">
        <f t="array" ref="N4">_xlfn.TEXTJOIN(", ",TRUE,_xlfn._xlws.FILTER(A4:A166,K4:K166=L4))</f>
        <v>A3, B8</v>
      </c>
    </row>
    <row r="5" spans="1:14" ht="72.5" x14ac:dyDescent="0.35">
      <c r="A5" s="3" t="s">
        <v>19</v>
      </c>
      <c r="B5" s="3" t="s">
        <v>12</v>
      </c>
      <c r="C5" s="3" t="s">
        <v>760</v>
      </c>
      <c r="D5" s="3" t="s">
        <v>751</v>
      </c>
      <c r="E5" s="3" t="s">
        <v>761</v>
      </c>
      <c r="F5" s="3" t="s">
        <v>756</v>
      </c>
      <c r="G5" s="3" t="s">
        <v>10</v>
      </c>
      <c r="H5" s="3" t="s">
        <v>10</v>
      </c>
      <c r="I5" s="3" t="s">
        <v>10</v>
      </c>
      <c r="J5" s="3" t="s">
        <v>10</v>
      </c>
      <c r="K5" s="3" t="s">
        <v>1386</v>
      </c>
      <c r="L5" s="31" t="str">
        <v>ambiguous_terminology</v>
      </c>
      <c r="M5" s="30">
        <f t="shared" si="0"/>
        <v>1</v>
      </c>
      <c r="N5" s="31" t="str" cm="1">
        <f t="array" ref="N5">_xlfn.TEXTJOIN(", ",TRUE,_xlfn._xlws.FILTER(A5:A167,K5:K167=L5))</f>
        <v>A6</v>
      </c>
    </row>
    <row r="6" spans="1:14" ht="58" x14ac:dyDescent="0.35">
      <c r="A6" s="3" t="s">
        <v>19</v>
      </c>
      <c r="B6" s="3" t="s">
        <v>12</v>
      </c>
      <c r="C6" s="3" t="s">
        <v>760</v>
      </c>
      <c r="D6" s="3" t="s">
        <v>757</v>
      </c>
      <c r="E6" s="3" t="s">
        <v>763</v>
      </c>
      <c r="F6" s="3" t="s">
        <v>753</v>
      </c>
      <c r="G6" s="3" t="s">
        <v>10</v>
      </c>
      <c r="H6" s="3" t="s">
        <v>10</v>
      </c>
      <c r="I6" s="3" t="s">
        <v>10</v>
      </c>
      <c r="J6" s="3" t="s">
        <v>10</v>
      </c>
      <c r="K6" s="3" t="s">
        <v>1387</v>
      </c>
      <c r="L6" s="31" t="str">
        <v>incomplete_data</v>
      </c>
      <c r="M6" s="30">
        <f t="shared" si="0"/>
        <v>1</v>
      </c>
      <c r="N6" s="31" t="str" cm="1">
        <f t="array" ref="N6">_xlfn.TEXTJOIN(", ",TRUE,_xlfn._xlws.FILTER(A6:A168,K6:K168=L6))</f>
        <v>A6</v>
      </c>
    </row>
    <row r="7" spans="1:14" ht="58" x14ac:dyDescent="0.35">
      <c r="A7" s="3" t="s">
        <v>25</v>
      </c>
      <c r="B7" s="3" t="s">
        <v>12</v>
      </c>
      <c r="C7" s="3" t="s">
        <v>750</v>
      </c>
      <c r="D7" s="3" t="s">
        <v>751</v>
      </c>
      <c r="E7" s="3" t="s">
        <v>765</v>
      </c>
      <c r="F7" s="3" t="s">
        <v>762</v>
      </c>
      <c r="G7" s="3" t="s">
        <v>766</v>
      </c>
      <c r="H7" s="3" t="s">
        <v>10</v>
      </c>
      <c r="I7" s="3" t="s">
        <v>10</v>
      </c>
      <c r="J7" s="3" t="s">
        <v>10</v>
      </c>
      <c r="K7" s="3" t="s">
        <v>1388</v>
      </c>
      <c r="L7" s="31" t="str">
        <v>privacy_naturalness_interaction</v>
      </c>
      <c r="M7" s="30">
        <f t="shared" si="0"/>
        <v>7</v>
      </c>
      <c r="N7" s="31" t="str" cm="1">
        <f t="array" ref="N7">_xlfn.TEXTJOIN(", ",TRUE,_xlfn._xlws.FILTER(A7:A169,K7:K169=L7))</f>
        <v>B1, B23, B23, B23, B25, B25, B25</v>
      </c>
    </row>
    <row r="8" spans="1:14" ht="29" x14ac:dyDescent="0.35">
      <c r="A8" s="3" t="s">
        <v>36</v>
      </c>
      <c r="B8" s="3" t="s">
        <v>12</v>
      </c>
      <c r="C8" s="3" t="s">
        <v>754</v>
      </c>
      <c r="D8" s="3" t="s">
        <v>751</v>
      </c>
      <c r="E8" s="3" t="s">
        <v>768</v>
      </c>
      <c r="F8" s="3" t="s">
        <v>764</v>
      </c>
      <c r="G8" s="3" t="s">
        <v>769</v>
      </c>
      <c r="H8" s="3" t="s">
        <v>10</v>
      </c>
      <c r="I8" s="3" t="s">
        <v>10</v>
      </c>
      <c r="J8" s="3" t="s">
        <v>10</v>
      </c>
      <c r="K8" s="3" t="s">
        <v>1389</v>
      </c>
      <c r="L8" s="31" t="str">
        <v>technical_functional_restrictions</v>
      </c>
      <c r="M8" s="30">
        <f t="shared" si="0"/>
        <v>1</v>
      </c>
      <c r="N8" s="31" t="str" cm="1">
        <f t="array" ref="N8">_xlfn.TEXTJOIN(", ",TRUE,_xlfn._xlws.FILTER(A8:A170,K8:K170=L8))</f>
        <v>B4</v>
      </c>
    </row>
    <row r="9" spans="1:14" ht="29" x14ac:dyDescent="0.35">
      <c r="A9" s="3" t="s">
        <v>36</v>
      </c>
      <c r="B9" s="3" t="s">
        <v>12</v>
      </c>
      <c r="C9" s="3" t="s">
        <v>754</v>
      </c>
      <c r="D9" s="3" t="s">
        <v>757</v>
      </c>
      <c r="E9" s="3" t="s">
        <v>771</v>
      </c>
      <c r="F9" s="3" t="s">
        <v>767</v>
      </c>
      <c r="G9" s="3" t="s">
        <v>10</v>
      </c>
      <c r="H9" s="3" t="s">
        <v>10</v>
      </c>
      <c r="I9" s="3" t="s">
        <v>10</v>
      </c>
      <c r="J9" s="3" t="s">
        <v>10</v>
      </c>
      <c r="K9" s="3" t="s">
        <v>1390</v>
      </c>
      <c r="L9" s="31" t="str">
        <v>user_centered_design</v>
      </c>
      <c r="M9" s="30">
        <f t="shared" si="0"/>
        <v>1</v>
      </c>
      <c r="N9" s="31" t="str" cm="1">
        <f t="array" ref="N9">_xlfn.TEXTJOIN(", ",TRUE,_xlfn._xlws.FILTER(A9:A171,K9:K171=L9))</f>
        <v>B4</v>
      </c>
    </row>
    <row r="10" spans="1:14" ht="43.5" x14ac:dyDescent="0.35">
      <c r="A10" s="3" t="s">
        <v>40</v>
      </c>
      <c r="B10" s="3" t="s">
        <v>12</v>
      </c>
      <c r="C10" s="3" t="s">
        <v>750</v>
      </c>
      <c r="D10" s="3" t="s">
        <v>751</v>
      </c>
      <c r="E10" s="3" t="s">
        <v>773</v>
      </c>
      <c r="F10" s="3" t="s">
        <v>764</v>
      </c>
      <c r="G10" s="3" t="s">
        <v>10</v>
      </c>
      <c r="H10" s="3" t="s">
        <v>10</v>
      </c>
      <c r="I10" s="3" t="s">
        <v>10</v>
      </c>
      <c r="J10" s="3" t="s">
        <v>10</v>
      </c>
      <c r="K10" s="3" t="s">
        <v>1391</v>
      </c>
      <c r="L10" s="31" t="str">
        <v>complex_task_handling</v>
      </c>
      <c r="M10" s="30">
        <f t="shared" si="0"/>
        <v>3</v>
      </c>
      <c r="N10" s="31" t="str" cm="1">
        <f t="array" ref="N10">_xlfn.TEXTJOIN(", ",TRUE,_xlfn._xlws.FILTER(A10:A172,K10:K172=L10))</f>
        <v>B5, B5, B16</v>
      </c>
    </row>
    <row r="11" spans="1:14" ht="43.5" x14ac:dyDescent="0.35">
      <c r="A11" s="3" t="s">
        <v>40</v>
      </c>
      <c r="B11" s="3" t="s">
        <v>12</v>
      </c>
      <c r="C11" s="3" t="s">
        <v>750</v>
      </c>
      <c r="D11" s="3" t="s">
        <v>757</v>
      </c>
      <c r="E11" s="3" t="s">
        <v>774</v>
      </c>
      <c r="F11" s="3" t="s">
        <v>764</v>
      </c>
      <c r="G11" s="3" t="s">
        <v>10</v>
      </c>
      <c r="H11" s="3" t="s">
        <v>10</v>
      </c>
      <c r="I11" s="3" t="s">
        <v>10</v>
      </c>
      <c r="J11" s="3" t="s">
        <v>10</v>
      </c>
      <c r="K11" s="3" t="s">
        <v>1391</v>
      </c>
      <c r="L11" s="31" t="str">
        <v>real_time_nlp</v>
      </c>
      <c r="M11" s="30">
        <f t="shared" si="0"/>
        <v>1</v>
      </c>
      <c r="N11" s="31" t="str" cm="1">
        <f t="array" ref="N11">_xlfn.TEXTJOIN(", ",TRUE,_xlfn._xlws.FILTER(A11:A173,K11:K173=L11))</f>
        <v>B5</v>
      </c>
    </row>
    <row r="12" spans="1:14" ht="43.5" x14ac:dyDescent="0.35">
      <c r="A12" s="3" t="s">
        <v>40</v>
      </c>
      <c r="B12" s="3" t="s">
        <v>12</v>
      </c>
      <c r="C12" s="3" t="s">
        <v>750</v>
      </c>
      <c r="D12" s="3" t="s">
        <v>776</v>
      </c>
      <c r="E12" s="3" t="s">
        <v>777</v>
      </c>
      <c r="F12" s="3" t="s">
        <v>764</v>
      </c>
      <c r="G12" s="3" t="s">
        <v>10</v>
      </c>
      <c r="H12" s="3" t="s">
        <v>10</v>
      </c>
      <c r="I12" s="3" t="s">
        <v>10</v>
      </c>
      <c r="J12" s="3" t="s">
        <v>10</v>
      </c>
      <c r="K12" s="3" t="s">
        <v>1392</v>
      </c>
      <c r="L12" s="31" t="str">
        <v>data_quality_model_evaluation</v>
      </c>
      <c r="M12" s="30">
        <f t="shared" si="0"/>
        <v>1</v>
      </c>
      <c r="N12" s="31" t="str" cm="1">
        <f t="array" ref="N12">_xlfn.TEXTJOIN(", ",TRUE,_xlfn._xlws.FILTER(A12:A174,K12:K174=L12))</f>
        <v>B5</v>
      </c>
    </row>
    <row r="13" spans="1:14" ht="161" customHeight="1" x14ac:dyDescent="0.35">
      <c r="A13" s="3" t="s">
        <v>40</v>
      </c>
      <c r="B13" s="3" t="s">
        <v>12</v>
      </c>
      <c r="C13" s="3" t="s">
        <v>750</v>
      </c>
      <c r="D13" s="3" t="s">
        <v>779</v>
      </c>
      <c r="E13" s="3" t="s">
        <v>780</v>
      </c>
      <c r="F13" s="3" t="s">
        <v>770</v>
      </c>
      <c r="G13" s="3" t="s">
        <v>764</v>
      </c>
      <c r="H13" s="3" t="s">
        <v>10</v>
      </c>
      <c r="I13" s="3" t="s">
        <v>10</v>
      </c>
      <c r="J13" s="3" t="s">
        <v>10</v>
      </c>
      <c r="K13" s="3" t="s">
        <v>1393</v>
      </c>
      <c r="L13" s="31" t="str">
        <v>conversational_context_maintenance</v>
      </c>
      <c r="M13" s="30">
        <f t="shared" si="0"/>
        <v>3</v>
      </c>
      <c r="N13" s="31" t="str" cm="1">
        <f t="array" ref="N13">_xlfn.TEXTJOIN(", ",TRUE,_xlfn._xlws.FILTER(A13:A175,K13:K175=L13))</f>
        <v>B5, B25, B25</v>
      </c>
    </row>
    <row r="14" spans="1:14" ht="43.5" x14ac:dyDescent="0.35">
      <c r="A14" s="3" t="s">
        <v>40</v>
      </c>
      <c r="B14" s="3" t="s">
        <v>12</v>
      </c>
      <c r="C14" s="3" t="s">
        <v>750</v>
      </c>
      <c r="D14" s="3" t="s">
        <v>781</v>
      </c>
      <c r="E14" s="3" t="s">
        <v>782</v>
      </c>
      <c r="F14" s="3" t="s">
        <v>772</v>
      </c>
      <c r="G14" s="3" t="s">
        <v>766</v>
      </c>
      <c r="H14" s="3" t="s">
        <v>10</v>
      </c>
      <c r="I14" s="3" t="s">
        <v>10</v>
      </c>
      <c r="J14" s="3" t="s">
        <v>10</v>
      </c>
      <c r="K14" s="3" t="s">
        <v>1394</v>
      </c>
      <c r="L14" s="31" t="str">
        <v>multiturn_context_coherence</v>
      </c>
      <c r="M14" s="30">
        <f t="shared" si="0"/>
        <v>1</v>
      </c>
      <c r="N14" s="31" t="str" cm="1">
        <f t="array" ref="N14">_xlfn.TEXTJOIN(", ",TRUE,_xlfn._xlws.FILTER(A14:A176,K14:K176=L14))</f>
        <v>B5</v>
      </c>
    </row>
    <row r="15" spans="1:14" ht="29" x14ac:dyDescent="0.35">
      <c r="A15" s="3" t="s">
        <v>40</v>
      </c>
      <c r="B15" s="3" t="s">
        <v>12</v>
      </c>
      <c r="C15" s="3" t="s">
        <v>750</v>
      </c>
      <c r="D15" s="3" t="s">
        <v>784</v>
      </c>
      <c r="E15" s="3" t="s">
        <v>785</v>
      </c>
      <c r="F15" s="3" t="s">
        <v>772</v>
      </c>
      <c r="G15" s="3" t="s">
        <v>766</v>
      </c>
      <c r="H15" s="3" t="s">
        <v>10</v>
      </c>
      <c r="I15" s="3" t="s">
        <v>10</v>
      </c>
      <c r="J15" s="3" t="s">
        <v>10</v>
      </c>
      <c r="K15" s="3" t="s">
        <v>1395</v>
      </c>
      <c r="L15" s="31" t="str">
        <v>closed_domain_data_acquisition</v>
      </c>
      <c r="M15" s="30">
        <f t="shared" si="0"/>
        <v>2</v>
      </c>
      <c r="N15" s="31" t="str" cm="1">
        <f t="array" ref="N15">_xlfn.TEXTJOIN(", ",TRUE,_xlfn._xlws.FILTER(A15:A177,K15:K177=L15))</f>
        <v>B6, B24</v>
      </c>
    </row>
    <row r="16" spans="1:14" ht="29" x14ac:dyDescent="0.35">
      <c r="A16" s="3" t="s">
        <v>43</v>
      </c>
      <c r="B16" s="3" t="s">
        <v>44</v>
      </c>
      <c r="C16" s="3" t="s">
        <v>787</v>
      </c>
      <c r="D16" s="3" t="s">
        <v>751</v>
      </c>
      <c r="E16" s="3" t="s">
        <v>788</v>
      </c>
      <c r="F16" s="3" t="s">
        <v>770</v>
      </c>
      <c r="G16" s="3" t="s">
        <v>10</v>
      </c>
      <c r="H16" s="3" t="s">
        <v>10</v>
      </c>
      <c r="I16" s="3" t="s">
        <v>10</v>
      </c>
      <c r="J16" s="3" t="s">
        <v>10</v>
      </c>
      <c r="K16" s="3" t="s">
        <v>1396</v>
      </c>
      <c r="L16" s="31" t="str">
        <v>adoption_resistance_to_change</v>
      </c>
      <c r="M16" s="30">
        <f t="shared" si="0"/>
        <v>1</v>
      </c>
      <c r="N16" s="31" t="str" cm="1">
        <f t="array" ref="N16">_xlfn.TEXTJOIN(", ",TRUE,_xlfn._xlws.FILTER(A16:A178,K16:K178=L16))</f>
        <v>B6</v>
      </c>
    </row>
    <row r="17" spans="1:14" ht="29" x14ac:dyDescent="0.35">
      <c r="A17" s="3" t="s">
        <v>43</v>
      </c>
      <c r="B17" s="3" t="s">
        <v>44</v>
      </c>
      <c r="C17" s="3" t="s">
        <v>787</v>
      </c>
      <c r="D17" s="3" t="s">
        <v>757</v>
      </c>
      <c r="E17" s="3" t="s">
        <v>790</v>
      </c>
      <c r="F17" s="3" t="s">
        <v>769</v>
      </c>
      <c r="G17" s="3" t="s">
        <v>10</v>
      </c>
      <c r="H17" s="3" t="s">
        <v>10</v>
      </c>
      <c r="I17" s="3" t="s">
        <v>10</v>
      </c>
      <c r="J17" s="3" t="s">
        <v>10</v>
      </c>
      <c r="K17" s="3" t="s">
        <v>1397</v>
      </c>
      <c r="L17" s="31" t="str">
        <v>data_scarcity</v>
      </c>
      <c r="M17" s="30">
        <f t="shared" si="0"/>
        <v>6</v>
      </c>
      <c r="N17" s="31" t="str" cm="1">
        <f t="array" ref="N17">_xlfn.TEXTJOIN(", ",TRUE,_xlfn._xlws.FILTER(A17:A179,K17:K179=L17))</f>
        <v>B6, B11, B24, B24, B24, B24</v>
      </c>
    </row>
    <row r="18" spans="1:14" ht="58" x14ac:dyDescent="0.35">
      <c r="A18" s="3" t="s">
        <v>43</v>
      </c>
      <c r="B18" s="3" t="s">
        <v>44</v>
      </c>
      <c r="C18" s="3" t="s">
        <v>787</v>
      </c>
      <c r="D18" s="3" t="s">
        <v>776</v>
      </c>
      <c r="E18" s="3" t="s">
        <v>791</v>
      </c>
      <c r="F18" s="3" t="s">
        <v>770</v>
      </c>
      <c r="G18" s="3" t="s">
        <v>775</v>
      </c>
      <c r="H18" s="3" t="s">
        <v>10</v>
      </c>
      <c r="I18" s="3" t="s">
        <v>10</v>
      </c>
      <c r="J18" s="3" t="s">
        <v>10</v>
      </c>
      <c r="K18" s="3" t="s">
        <v>1398</v>
      </c>
      <c r="L18" s="31" t="str">
        <v>generative_ai_technological_lag</v>
      </c>
      <c r="M18" s="30">
        <f t="shared" si="0"/>
        <v>3</v>
      </c>
      <c r="N18" s="31" t="str" cm="1">
        <f t="array" ref="N18">_xlfn.TEXTJOIN(", ",TRUE,_xlfn._xlws.FILTER(A18:A180,K18:K180=L18))</f>
        <v>B6, B7, B16</v>
      </c>
    </row>
    <row r="19" spans="1:14" ht="58" x14ac:dyDescent="0.35">
      <c r="A19" s="3" t="s">
        <v>43</v>
      </c>
      <c r="B19" s="3" t="s">
        <v>44</v>
      </c>
      <c r="C19" s="3" t="s">
        <v>787</v>
      </c>
      <c r="D19" s="3" t="s">
        <v>779</v>
      </c>
      <c r="E19" s="3" t="s">
        <v>792</v>
      </c>
      <c r="F19" s="3" t="s">
        <v>775</v>
      </c>
      <c r="G19" s="3" t="s">
        <v>769</v>
      </c>
      <c r="H19" s="3" t="s">
        <v>10</v>
      </c>
      <c r="I19" s="3" t="s">
        <v>10</v>
      </c>
      <c r="J19" s="3" t="s">
        <v>10</v>
      </c>
      <c r="K19" s="3" t="s">
        <v>1399</v>
      </c>
      <c r="L19" s="31" t="str">
        <v>non_technical_operational_restrictions</v>
      </c>
      <c r="M19" s="30">
        <f t="shared" si="0"/>
        <v>1</v>
      </c>
      <c r="N19" s="31" t="str" cm="1">
        <f t="array" ref="N19">_xlfn.TEXTJOIN(", ",TRUE,_xlfn._xlws.FILTER(A19:A181,K19:K181=L19))</f>
        <v>B6</v>
      </c>
    </row>
    <row r="20" spans="1:14" ht="29" x14ac:dyDescent="0.35">
      <c r="A20" s="3" t="s">
        <v>43</v>
      </c>
      <c r="B20" s="3" t="s">
        <v>44</v>
      </c>
      <c r="C20" s="3" t="s">
        <v>787</v>
      </c>
      <c r="D20" s="3" t="s">
        <v>781</v>
      </c>
      <c r="E20" s="3" t="s">
        <v>793</v>
      </c>
      <c r="F20" s="3" t="s">
        <v>775</v>
      </c>
      <c r="G20" s="3" t="s">
        <v>10</v>
      </c>
      <c r="H20" s="3" t="s">
        <v>10</v>
      </c>
      <c r="I20" s="3" t="s">
        <v>10</v>
      </c>
      <c r="J20" s="3" t="s">
        <v>10</v>
      </c>
      <c r="K20" s="3" t="s">
        <v>1400</v>
      </c>
      <c r="L20" s="31" t="str">
        <v>subjective_evaluation</v>
      </c>
      <c r="M20" s="30">
        <f t="shared" si="0"/>
        <v>1</v>
      </c>
      <c r="N20" s="31" t="str" cm="1">
        <f t="array" ref="N20">_xlfn.TEXTJOIN(", ",TRUE,_xlfn._xlws.FILTER(A20:A182,K20:K182=L20))</f>
        <v>B7</v>
      </c>
    </row>
    <row r="21" spans="1:14" ht="43.5" x14ac:dyDescent="0.35">
      <c r="A21" s="3" t="s">
        <v>47</v>
      </c>
      <c r="B21" s="3" t="s">
        <v>44</v>
      </c>
      <c r="C21" s="3" t="s">
        <v>787</v>
      </c>
      <c r="D21" s="3" t="s">
        <v>751</v>
      </c>
      <c r="E21" s="3" t="s">
        <v>794</v>
      </c>
      <c r="F21" s="3" t="s">
        <v>759</v>
      </c>
      <c r="G21" s="3" t="s">
        <v>753</v>
      </c>
      <c r="H21" s="3" t="s">
        <v>10</v>
      </c>
      <c r="I21" s="3" t="s">
        <v>10</v>
      </c>
      <c r="J21" s="3" t="s">
        <v>10</v>
      </c>
      <c r="K21" s="3" t="s">
        <v>1401</v>
      </c>
      <c r="L21" s="31" t="str">
        <v>ambiguous_user_behavior_outcomes</v>
      </c>
      <c r="M21" s="30">
        <f t="shared" si="0"/>
        <v>2</v>
      </c>
      <c r="N21" s="31" t="str" cm="1">
        <f t="array" ref="N21">_xlfn.TEXTJOIN(", ",TRUE,_xlfn._xlws.FILTER(A21:A183,K21:K183=L21))</f>
        <v>B7, B7</v>
      </c>
    </row>
    <row r="22" spans="1:14" ht="43.5" x14ac:dyDescent="0.35">
      <c r="A22" s="3" t="s">
        <v>47</v>
      </c>
      <c r="B22" s="3" t="s">
        <v>44</v>
      </c>
      <c r="C22" s="3" t="s">
        <v>787</v>
      </c>
      <c r="D22" s="3" t="s">
        <v>757</v>
      </c>
      <c r="E22" s="3" t="s">
        <v>795</v>
      </c>
      <c r="F22" s="3" t="s">
        <v>759</v>
      </c>
      <c r="G22" s="3" t="s">
        <v>756</v>
      </c>
      <c r="H22" s="3" t="s">
        <v>769</v>
      </c>
      <c r="I22" s="3" t="s">
        <v>10</v>
      </c>
      <c r="J22" s="3" t="s">
        <v>10</v>
      </c>
      <c r="K22" s="3" t="s">
        <v>1402</v>
      </c>
      <c r="L22" s="31" t="str">
        <v>longitudinal_trust_inconsistency</v>
      </c>
      <c r="M22" s="30">
        <f t="shared" si="0"/>
        <v>1</v>
      </c>
      <c r="N22" s="31" t="str" cm="1">
        <f t="array" ref="N22">_xlfn.TEXTJOIN(", ",TRUE,_xlfn._xlws.FILTER(A22:A184,K22:K184=L22))</f>
        <v>B7</v>
      </c>
    </row>
    <row r="23" spans="1:14" ht="43.5" x14ac:dyDescent="0.35">
      <c r="A23" s="3" t="s">
        <v>47</v>
      </c>
      <c r="B23" s="3" t="s">
        <v>44</v>
      </c>
      <c r="C23" s="3" t="s">
        <v>787</v>
      </c>
      <c r="D23" s="3" t="s">
        <v>776</v>
      </c>
      <c r="E23" s="3" t="s">
        <v>796</v>
      </c>
      <c r="F23" s="3" t="s">
        <v>759</v>
      </c>
      <c r="G23" s="3" t="s">
        <v>766</v>
      </c>
      <c r="H23" s="3" t="s">
        <v>783</v>
      </c>
      <c r="I23" s="3" t="s">
        <v>762</v>
      </c>
      <c r="J23" s="3" t="s">
        <v>756</v>
      </c>
      <c r="K23" s="3" t="s">
        <v>1402</v>
      </c>
      <c r="L23" s="31" t="str">
        <v>contextual_clinical_value_evaluation</v>
      </c>
      <c r="M23" s="30">
        <f t="shared" si="0"/>
        <v>1</v>
      </c>
      <c r="N23" s="31" t="str" cm="1">
        <f t="array" ref="N23">_xlfn.TEXTJOIN(", ",TRUE,_xlfn._xlws.FILTER(A23:A185,K23:K185=L23))</f>
        <v>B8</v>
      </c>
    </row>
    <row r="24" spans="1:14" ht="29" x14ac:dyDescent="0.35">
      <c r="A24" s="3" t="s">
        <v>47</v>
      </c>
      <c r="B24" s="3" t="s">
        <v>44</v>
      </c>
      <c r="C24" s="3" t="s">
        <v>787</v>
      </c>
      <c r="D24" s="3" t="s">
        <v>779</v>
      </c>
      <c r="E24" s="3" t="s">
        <v>797</v>
      </c>
      <c r="F24" s="3" t="s">
        <v>764</v>
      </c>
      <c r="G24" s="3" t="s">
        <v>10</v>
      </c>
      <c r="H24" s="3" t="s">
        <v>10</v>
      </c>
      <c r="I24" s="3" t="s">
        <v>10</v>
      </c>
      <c r="J24" s="3" t="s">
        <v>10</v>
      </c>
      <c r="K24" s="3" t="s">
        <v>1403</v>
      </c>
      <c r="L24" s="31" t="str">
        <v>absent_semantic_metrics</v>
      </c>
      <c r="M24" s="30">
        <f t="shared" si="0"/>
        <v>1</v>
      </c>
      <c r="N24" s="31" t="str" cm="1">
        <f t="array" ref="N24">_xlfn.TEXTJOIN(", ",TRUE,_xlfn._xlws.FILTER(A24:A186,K24:K186=L24))</f>
        <v>B8</v>
      </c>
    </row>
    <row r="25" spans="1:14" ht="58" x14ac:dyDescent="0.35">
      <c r="A25" s="3" t="s">
        <v>47</v>
      </c>
      <c r="B25" s="3" t="s">
        <v>44</v>
      </c>
      <c r="C25" s="3" t="s">
        <v>787</v>
      </c>
      <c r="D25" s="3" t="s">
        <v>781</v>
      </c>
      <c r="E25" s="3" t="s">
        <v>798</v>
      </c>
      <c r="F25" s="3" t="s">
        <v>767</v>
      </c>
      <c r="G25" s="3" t="s">
        <v>775</v>
      </c>
      <c r="H25" s="3" t="s">
        <v>10</v>
      </c>
      <c r="I25" s="3" t="s">
        <v>10</v>
      </c>
      <c r="J25" s="3" t="s">
        <v>10</v>
      </c>
      <c r="K25" s="3" t="s">
        <v>1399</v>
      </c>
      <c r="L25" s="31" t="str">
        <v>absent_user_centered_metrics</v>
      </c>
      <c r="M25" s="30">
        <f t="shared" si="0"/>
        <v>1</v>
      </c>
      <c r="N25" s="31" t="str" cm="1">
        <f t="array" ref="N25">_xlfn.TEXTJOIN(", ",TRUE,_xlfn._xlws.FILTER(A25:A187,K25:K187=L25))</f>
        <v>B8</v>
      </c>
    </row>
    <row r="26" spans="1:14" ht="43.5" x14ac:dyDescent="0.35">
      <c r="A26" s="3" t="s">
        <v>51</v>
      </c>
      <c r="B26" s="3" t="s">
        <v>7</v>
      </c>
      <c r="C26" s="3" t="s">
        <v>754</v>
      </c>
      <c r="D26" s="3" t="s">
        <v>751</v>
      </c>
      <c r="E26" s="3" t="s">
        <v>799</v>
      </c>
      <c r="F26" s="3" t="s">
        <v>759</v>
      </c>
      <c r="G26" s="3" t="s">
        <v>764</v>
      </c>
      <c r="H26" s="3" t="s">
        <v>10</v>
      </c>
      <c r="I26" s="3" t="s">
        <v>10</v>
      </c>
      <c r="J26" s="3" t="s">
        <v>10</v>
      </c>
      <c r="K26" s="3" t="s">
        <v>1404</v>
      </c>
      <c r="L26" s="31" t="str">
        <v>absent_comprehensive_evaluation</v>
      </c>
      <c r="M26" s="30">
        <f t="shared" si="0"/>
        <v>1</v>
      </c>
      <c r="N26" s="31" t="str" cm="1">
        <f t="array" ref="N26">_xlfn.TEXTJOIN(", ",TRUE,_xlfn._xlws.FILTER(A26:A188,K26:K188=L26))</f>
        <v>B8</v>
      </c>
    </row>
    <row r="27" spans="1:14" ht="43.5" x14ac:dyDescent="0.35">
      <c r="A27" s="3" t="s">
        <v>51</v>
      </c>
      <c r="B27" s="3" t="s">
        <v>7</v>
      </c>
      <c r="C27" s="3" t="s">
        <v>754</v>
      </c>
      <c r="D27" s="3" t="s">
        <v>757</v>
      </c>
      <c r="E27" s="3" t="s">
        <v>800</v>
      </c>
      <c r="F27" s="3" t="s">
        <v>759</v>
      </c>
      <c r="G27" s="3" t="s">
        <v>10</v>
      </c>
      <c r="H27" s="3" t="s">
        <v>10</v>
      </c>
      <c r="I27" s="3" t="s">
        <v>10</v>
      </c>
      <c r="J27" s="3" t="s">
        <v>10</v>
      </c>
      <c r="K27" s="3" t="s">
        <v>1385</v>
      </c>
      <c r="L27" s="31" t="str">
        <v>absent_diagnostic_evidence</v>
      </c>
      <c r="M27" s="30">
        <f t="shared" si="0"/>
        <v>1</v>
      </c>
      <c r="N27" s="31" t="str" cm="1">
        <f t="array" ref="N27">_xlfn.TEXTJOIN(", ",TRUE,_xlfn._xlws.FILTER(A27:A189,K27:K189=L27))</f>
        <v>B10</v>
      </c>
    </row>
    <row r="28" spans="1:14" ht="58" x14ac:dyDescent="0.35">
      <c r="A28" s="3" t="s">
        <v>51</v>
      </c>
      <c r="B28" s="3" t="s">
        <v>7</v>
      </c>
      <c r="C28" s="3" t="s">
        <v>754</v>
      </c>
      <c r="D28" s="3" t="s">
        <v>776</v>
      </c>
      <c r="E28" s="3" t="s">
        <v>801</v>
      </c>
      <c r="F28" s="3" t="s">
        <v>759</v>
      </c>
      <c r="G28" s="3" t="s">
        <v>10</v>
      </c>
      <c r="H28" s="3" t="s">
        <v>10</v>
      </c>
      <c r="I28" s="3" t="s">
        <v>10</v>
      </c>
      <c r="J28" s="3" t="s">
        <v>10</v>
      </c>
      <c r="K28" s="3" t="s">
        <v>1405</v>
      </c>
      <c r="L28" s="31" t="str">
        <v>clinical_error_risk</v>
      </c>
      <c r="M28" s="30">
        <f t="shared" si="0"/>
        <v>1</v>
      </c>
      <c r="N28" s="31" t="str" cm="1">
        <f t="array" ref="N28">_xlfn.TEXTJOIN(", ",TRUE,_xlfn._xlws.FILTER(A28:A190,K28:K190=L28))</f>
        <v>B10</v>
      </c>
    </row>
    <row r="29" spans="1:14" ht="58" x14ac:dyDescent="0.35">
      <c r="A29" s="3" t="s">
        <v>51</v>
      </c>
      <c r="B29" s="3" t="s">
        <v>7</v>
      </c>
      <c r="C29" s="3" t="s">
        <v>754</v>
      </c>
      <c r="D29" s="3" t="s">
        <v>779</v>
      </c>
      <c r="E29" s="3" t="s">
        <v>802</v>
      </c>
      <c r="F29" s="3" t="s">
        <v>759</v>
      </c>
      <c r="G29" s="3" t="s">
        <v>10</v>
      </c>
      <c r="H29" s="3" t="s">
        <v>10</v>
      </c>
      <c r="I29" s="3" t="s">
        <v>10</v>
      </c>
      <c r="J29" s="3" t="s">
        <v>10</v>
      </c>
      <c r="K29" s="3" t="s">
        <v>1406</v>
      </c>
      <c r="L29" s="31" t="str">
        <v>engagement_biases_longitudinal_evaluation</v>
      </c>
      <c r="M29" s="30">
        <f t="shared" si="0"/>
        <v>1</v>
      </c>
      <c r="N29" s="31" t="str" cm="1">
        <f t="array" ref="N29">_xlfn.TEXTJOIN(", ",TRUE,_xlfn._xlws.FILTER(A29:A191,K29:K191=L29))</f>
        <v>B10</v>
      </c>
    </row>
    <row r="30" spans="1:14" ht="101.5" x14ac:dyDescent="0.35">
      <c r="A30" s="3" t="s">
        <v>51</v>
      </c>
      <c r="B30" s="3" t="s">
        <v>7</v>
      </c>
      <c r="C30" s="3" t="s">
        <v>754</v>
      </c>
      <c r="D30" s="3" t="s">
        <v>781</v>
      </c>
      <c r="E30" s="3" t="s">
        <v>803</v>
      </c>
      <c r="F30" s="3" t="s">
        <v>759</v>
      </c>
      <c r="G30" s="3" t="s">
        <v>766</v>
      </c>
      <c r="H30" s="3" t="s">
        <v>10</v>
      </c>
      <c r="I30" s="3" t="s">
        <v>10</v>
      </c>
      <c r="J30" s="3" t="s">
        <v>10</v>
      </c>
      <c r="K30" s="3" t="s">
        <v>1407</v>
      </c>
      <c r="L30" s="31" t="str">
        <v>clinical_harm_protocol_lack</v>
      </c>
      <c r="M30" s="30">
        <f t="shared" si="0"/>
        <v>1</v>
      </c>
      <c r="N30" s="31" t="str" cm="1">
        <f t="array" ref="N30">_xlfn.TEXTJOIN(", ",TRUE,_xlfn._xlws.FILTER(A30:A192,K30:K192=L30))</f>
        <v>B10</v>
      </c>
    </row>
    <row r="31" spans="1:14" ht="29" x14ac:dyDescent="0.35">
      <c r="A31" s="3" t="s">
        <v>57</v>
      </c>
      <c r="B31" s="3" t="s">
        <v>7</v>
      </c>
      <c r="C31" s="3" t="s">
        <v>787</v>
      </c>
      <c r="D31" s="3" t="s">
        <v>751</v>
      </c>
      <c r="E31" s="3" t="s">
        <v>804</v>
      </c>
      <c r="F31" s="3" t="s">
        <v>759</v>
      </c>
      <c r="G31" s="3" t="s">
        <v>756</v>
      </c>
      <c r="H31" s="3" t="s">
        <v>10</v>
      </c>
      <c r="I31" s="3" t="s">
        <v>10</v>
      </c>
      <c r="J31" s="3" t="s">
        <v>10</v>
      </c>
      <c r="K31" s="3" t="s">
        <v>1408</v>
      </c>
      <c r="L31" s="31" t="str">
        <v>absent_longitudinal_studies</v>
      </c>
      <c r="M31" s="30">
        <f t="shared" si="0"/>
        <v>2</v>
      </c>
      <c r="N31" s="31" t="str" cm="1">
        <f t="array" ref="N31">_xlfn.TEXTJOIN(", ",TRUE,_xlfn._xlws.FILTER(A31:A193,K31:K193=L31))</f>
        <v>B11, B13</v>
      </c>
    </row>
    <row r="32" spans="1:14" ht="29" x14ac:dyDescent="0.35">
      <c r="A32" s="3" t="s">
        <v>57</v>
      </c>
      <c r="B32" s="3" t="s">
        <v>7</v>
      </c>
      <c r="C32" s="3" t="s">
        <v>787</v>
      </c>
      <c r="D32" s="3" t="s">
        <v>757</v>
      </c>
      <c r="E32" s="3" t="s">
        <v>805</v>
      </c>
      <c r="F32" s="3" t="s">
        <v>762</v>
      </c>
      <c r="G32" s="3" t="s">
        <v>764</v>
      </c>
      <c r="H32" s="3" t="s">
        <v>10</v>
      </c>
      <c r="I32" s="3" t="s">
        <v>10</v>
      </c>
      <c r="J32" s="3" t="s">
        <v>10</v>
      </c>
      <c r="K32" s="3" t="s">
        <v>1409</v>
      </c>
      <c r="L32" s="31" t="str">
        <v>personalization_adaptation_external_validity</v>
      </c>
      <c r="M32" s="30">
        <f t="shared" si="0"/>
        <v>1</v>
      </c>
      <c r="N32" s="31" t="str" cm="1">
        <f t="array" ref="N32">_xlfn.TEXTJOIN(", ",TRUE,_xlfn._xlws.FILTER(A32:A194,K32:K194=L32))</f>
        <v>B11</v>
      </c>
    </row>
    <row r="33" spans="1:14" ht="58" x14ac:dyDescent="0.35">
      <c r="A33" s="3" t="s">
        <v>57</v>
      </c>
      <c r="B33" s="3" t="s">
        <v>7</v>
      </c>
      <c r="C33" s="3" t="s">
        <v>787</v>
      </c>
      <c r="D33" s="3" t="s">
        <v>776</v>
      </c>
      <c r="E33" s="3" t="s">
        <v>806</v>
      </c>
      <c r="F33" s="3" t="s">
        <v>759</v>
      </c>
      <c r="G33" s="3" t="s">
        <v>783</v>
      </c>
      <c r="H33" s="3" t="s">
        <v>769</v>
      </c>
      <c r="I33" s="3" t="s">
        <v>10</v>
      </c>
      <c r="J33" s="3" t="s">
        <v>10</v>
      </c>
      <c r="K33" s="3" t="s">
        <v>1410</v>
      </c>
      <c r="L33" s="31" t="str">
        <v>conversational_coherence</v>
      </c>
      <c r="M33" s="30">
        <f t="shared" si="0"/>
        <v>2</v>
      </c>
      <c r="N33" s="31" t="str" cm="1">
        <f t="array" ref="N33">_xlfn.TEXTJOIN(", ",TRUE,_xlfn._xlws.FILTER(A33:A195,K33:K195=L33))</f>
        <v>B14, B14</v>
      </c>
    </row>
    <row r="34" spans="1:14" ht="43.5" x14ac:dyDescent="0.35">
      <c r="A34" s="3" t="s">
        <v>57</v>
      </c>
      <c r="B34" s="3" t="s">
        <v>7</v>
      </c>
      <c r="C34" s="3" t="s">
        <v>787</v>
      </c>
      <c r="D34" s="3" t="s">
        <v>779</v>
      </c>
      <c r="E34" s="3" t="s">
        <v>807</v>
      </c>
      <c r="F34" s="3" t="s">
        <v>778</v>
      </c>
      <c r="G34" s="3" t="s">
        <v>759</v>
      </c>
      <c r="H34" s="3" t="s">
        <v>786</v>
      </c>
      <c r="I34" s="3" t="s">
        <v>10</v>
      </c>
      <c r="J34" s="3" t="s">
        <v>10</v>
      </c>
      <c r="K34" s="3" t="s">
        <v>1411</v>
      </c>
      <c r="L34" s="31" t="str">
        <v>algorithmic_biases</v>
      </c>
      <c r="M34" s="30">
        <f t="shared" si="0"/>
        <v>3</v>
      </c>
      <c r="N34" s="31" t="str" cm="1">
        <f t="array" ref="N34">_xlfn.TEXTJOIN(", ",TRUE,_xlfn._xlws.FILTER(A34:A196,K34:K196=L34))</f>
        <v>B14, B22, B22</v>
      </c>
    </row>
    <row r="35" spans="1:14" x14ac:dyDescent="0.35">
      <c r="A35" s="3" t="s">
        <v>60</v>
      </c>
      <c r="B35" s="3" t="s">
        <v>44</v>
      </c>
      <c r="C35" s="3" t="s">
        <v>750</v>
      </c>
      <c r="D35" s="3" t="s">
        <v>751</v>
      </c>
      <c r="E35" s="3" t="s">
        <v>808</v>
      </c>
      <c r="F35" s="3" t="s">
        <v>770</v>
      </c>
      <c r="G35" s="3" t="s">
        <v>10</v>
      </c>
      <c r="H35" s="3" t="s">
        <v>10</v>
      </c>
      <c r="I35" s="3" t="s">
        <v>10</v>
      </c>
      <c r="J35" s="3" t="s">
        <v>10</v>
      </c>
      <c r="K35" s="3" t="s">
        <v>1398</v>
      </c>
      <c r="L35" s="31" t="str">
        <v>adaptation_vulnerable_users</v>
      </c>
      <c r="M35" s="30">
        <f t="shared" si="0"/>
        <v>1</v>
      </c>
      <c r="N35" s="31" t="str" cm="1">
        <f t="array" ref="N35">_xlfn.TEXTJOIN(", ",TRUE,_xlfn._xlws.FILTER(A35:A197,K35:K197=L35))</f>
        <v>B14</v>
      </c>
    </row>
    <row r="36" spans="1:14" ht="29" x14ac:dyDescent="0.35">
      <c r="A36" s="3" t="s">
        <v>60</v>
      </c>
      <c r="B36" s="3" t="s">
        <v>44</v>
      </c>
      <c r="C36" s="3" t="s">
        <v>750</v>
      </c>
      <c r="D36" s="3" t="s">
        <v>757</v>
      </c>
      <c r="E36" s="3" t="s">
        <v>809</v>
      </c>
      <c r="F36" s="3" t="s">
        <v>759</v>
      </c>
      <c r="G36" s="3" t="s">
        <v>753</v>
      </c>
      <c r="H36" s="3" t="s">
        <v>10</v>
      </c>
      <c r="I36" s="3" t="s">
        <v>10</v>
      </c>
      <c r="J36" s="3" t="s">
        <v>10</v>
      </c>
      <c r="K36" s="3" t="s">
        <v>1412</v>
      </c>
      <c r="L36" s="31" t="str">
        <v>model_architectural_limitation</v>
      </c>
      <c r="M36" s="30">
        <f t="shared" si="0"/>
        <v>25</v>
      </c>
      <c r="N36" s="31" t="str" cm="1">
        <f t="array" ref="N36">_xlfn.TEXTJOIN(", ",TRUE,_xlfn._xlws.FILTER(A36:A198,K36:K198=L36))</f>
        <v>B15, B15, B15, B15, B15, B15, B15, B15, B15, B15, B15, B15, B15, B15, B15, B15, B15, B15, B15, B15, B15, B15, B22, B25, C2</v>
      </c>
    </row>
    <row r="37" spans="1:14" ht="72.5" x14ac:dyDescent="0.35">
      <c r="A37" s="3" t="s">
        <v>60</v>
      </c>
      <c r="B37" s="3" t="s">
        <v>44</v>
      </c>
      <c r="C37" s="3" t="s">
        <v>750</v>
      </c>
      <c r="D37" s="3" t="s">
        <v>776</v>
      </c>
      <c r="E37" s="3" t="s">
        <v>810</v>
      </c>
      <c r="F37" s="3" t="s">
        <v>766</v>
      </c>
      <c r="G37" s="3" t="s">
        <v>759</v>
      </c>
      <c r="H37" s="3" t="s">
        <v>769</v>
      </c>
      <c r="I37" s="3" t="s">
        <v>10</v>
      </c>
      <c r="J37" s="3" t="s">
        <v>10</v>
      </c>
      <c r="K37" s="3" t="s">
        <v>1413</v>
      </c>
      <c r="L37" s="31" t="str">
        <v>resource_cost_efficiency</v>
      </c>
      <c r="M37" s="30">
        <f t="shared" si="0"/>
        <v>7</v>
      </c>
      <c r="N37" s="31" t="str" cm="1">
        <f t="array" ref="N37">_xlfn.TEXTJOIN(", ",TRUE,_xlfn._xlws.FILTER(A37:A199,K37:K199=L37))</f>
        <v>B15, B16, B22, B24, B25, C3, C3</v>
      </c>
    </row>
    <row r="38" spans="1:14" ht="43.5" x14ac:dyDescent="0.35">
      <c r="A38" s="3" t="s">
        <v>66</v>
      </c>
      <c r="B38" s="3" t="s">
        <v>7</v>
      </c>
      <c r="C38" s="3" t="s">
        <v>750</v>
      </c>
      <c r="D38" s="3" t="s">
        <v>751</v>
      </c>
      <c r="E38" s="3" t="s">
        <v>811</v>
      </c>
      <c r="F38" s="3" t="s">
        <v>759</v>
      </c>
      <c r="G38" s="3" t="s">
        <v>769</v>
      </c>
      <c r="H38" s="3" t="s">
        <v>10</v>
      </c>
      <c r="I38" s="3" t="s">
        <v>10</v>
      </c>
      <c r="J38" s="3" t="s">
        <v>10</v>
      </c>
      <c r="K38" s="3" t="s">
        <v>1412</v>
      </c>
      <c r="L38" s="31" t="str">
        <v>response_length_performance</v>
      </c>
      <c r="M38" s="30">
        <f t="shared" si="0"/>
        <v>3</v>
      </c>
      <c r="N38" s="31" t="str" cm="1">
        <f t="array" ref="N38">_xlfn.TEXTJOIN(", ",TRUE,_xlfn._xlws.FILTER(A38:A200,K38:K200=L38))</f>
        <v>B15, B15, B15</v>
      </c>
    </row>
    <row r="39" spans="1:14" ht="58" x14ac:dyDescent="0.35">
      <c r="A39" s="3" t="s">
        <v>66</v>
      </c>
      <c r="B39" s="3" t="s">
        <v>7</v>
      </c>
      <c r="C39" s="3" t="s">
        <v>750</v>
      </c>
      <c r="D39" s="3" t="s">
        <v>757</v>
      </c>
      <c r="E39" s="3" t="s">
        <v>812</v>
      </c>
      <c r="F39" s="3" t="s">
        <v>753</v>
      </c>
      <c r="G39" s="3" t="s">
        <v>759</v>
      </c>
      <c r="H39" s="3" t="s">
        <v>10</v>
      </c>
      <c r="I39" s="3" t="s">
        <v>10</v>
      </c>
      <c r="J39" s="3" t="s">
        <v>10</v>
      </c>
      <c r="K39" s="3" t="s">
        <v>1178</v>
      </c>
      <c r="L39" s="31" t="str">
        <v>model_evaluation</v>
      </c>
      <c r="M39" s="30">
        <f t="shared" si="0"/>
        <v>1</v>
      </c>
      <c r="N39" s="31" t="str" cm="1">
        <f t="array" ref="N39">_xlfn.TEXTJOIN(", ",TRUE,_xlfn._xlws.FILTER(A39:A201,K39:K201=L39))</f>
        <v>B15</v>
      </c>
    </row>
    <row r="40" spans="1:14" ht="73.5" customHeight="1" x14ac:dyDescent="0.35">
      <c r="A40" s="3" t="s">
        <v>66</v>
      </c>
      <c r="B40" s="3" t="s">
        <v>7</v>
      </c>
      <c r="C40" s="3" t="s">
        <v>750</v>
      </c>
      <c r="D40" s="3" t="s">
        <v>776</v>
      </c>
      <c r="E40" s="3" t="s">
        <v>813</v>
      </c>
      <c r="F40" s="3" t="s">
        <v>783</v>
      </c>
      <c r="G40" s="3" t="s">
        <v>753</v>
      </c>
      <c r="H40" s="3" t="s">
        <v>769</v>
      </c>
      <c r="I40" s="3" t="s">
        <v>10</v>
      </c>
      <c r="J40" s="3" t="s">
        <v>10</v>
      </c>
      <c r="K40" s="3" t="s">
        <v>1178</v>
      </c>
      <c r="L40" s="31" t="str">
        <v>common_sense_knowledge_integration</v>
      </c>
      <c r="M40" s="30">
        <f t="shared" si="0"/>
        <v>1</v>
      </c>
      <c r="N40" s="31" t="str" cm="1">
        <f t="array" ref="N40">_xlfn.TEXTJOIN(", ",TRUE,_xlfn._xlws.FILTER(A40:A202,K40:K202=L40))</f>
        <v>B15</v>
      </c>
    </row>
    <row r="41" spans="1:14" ht="58" x14ac:dyDescent="0.35">
      <c r="A41" s="3" t="s">
        <v>69</v>
      </c>
      <c r="B41" s="3" t="s">
        <v>12</v>
      </c>
      <c r="C41" s="3" t="s">
        <v>760</v>
      </c>
      <c r="D41" s="3" t="s">
        <v>751</v>
      </c>
      <c r="E41" s="3" t="s">
        <v>814</v>
      </c>
      <c r="F41" s="3" t="s">
        <v>772</v>
      </c>
      <c r="G41" s="3" t="s">
        <v>766</v>
      </c>
      <c r="H41" s="3" t="s">
        <v>10</v>
      </c>
      <c r="I41" s="3" t="s">
        <v>10</v>
      </c>
      <c r="J41" s="3" t="s">
        <v>10</v>
      </c>
      <c r="K41" s="3" t="s">
        <v>1414</v>
      </c>
      <c r="L41" s="31" t="str">
        <v>long_term_personality_memory</v>
      </c>
      <c r="M41" s="30">
        <f t="shared" si="0"/>
        <v>1</v>
      </c>
      <c r="N41" s="31" t="str" cm="1">
        <f t="array" ref="N41">_xlfn.TEXTJOIN(", ",TRUE,_xlfn._xlws.FILTER(A41:A203,K41:K203=L41))</f>
        <v>B15</v>
      </c>
    </row>
    <row r="42" spans="1:14" ht="58" x14ac:dyDescent="0.35">
      <c r="A42" s="3" t="s">
        <v>69</v>
      </c>
      <c r="B42" s="3" t="s">
        <v>12</v>
      </c>
      <c r="C42" s="3" t="s">
        <v>760</v>
      </c>
      <c r="D42" s="3" t="s">
        <v>757</v>
      </c>
      <c r="E42" s="3" t="s">
        <v>815</v>
      </c>
      <c r="F42" s="3" t="s">
        <v>759</v>
      </c>
      <c r="G42" s="3" t="s">
        <v>772</v>
      </c>
      <c r="H42" s="3" t="s">
        <v>10</v>
      </c>
      <c r="I42" s="3" t="s">
        <v>10</v>
      </c>
      <c r="J42" s="3" t="s">
        <v>10</v>
      </c>
      <c r="K42" s="3" t="s">
        <v>1414</v>
      </c>
      <c r="L42" s="31" t="str">
        <v>user_centered_evaluation</v>
      </c>
      <c r="M42" s="30">
        <f t="shared" si="0"/>
        <v>1</v>
      </c>
      <c r="N42" s="31" t="str" cm="1">
        <f t="array" ref="N42">_xlfn.TEXTJOIN(", ",TRUE,_xlfn._xlws.FILTER(A42:A204,K42:K204=L42))</f>
        <v>B15</v>
      </c>
    </row>
    <row r="43" spans="1:14" ht="43.5" x14ac:dyDescent="0.35">
      <c r="A43" s="3" t="s">
        <v>69</v>
      </c>
      <c r="B43" s="3" t="s">
        <v>12</v>
      </c>
      <c r="C43" s="3" t="s">
        <v>760</v>
      </c>
      <c r="D43" s="3" t="s">
        <v>776</v>
      </c>
      <c r="E43" s="3" t="s">
        <v>816</v>
      </c>
      <c r="F43" s="3" t="s">
        <v>783</v>
      </c>
      <c r="G43" s="3" t="s">
        <v>770</v>
      </c>
      <c r="H43" s="3" t="s">
        <v>10</v>
      </c>
      <c r="I43" s="3" t="s">
        <v>10</v>
      </c>
      <c r="J43" s="3" t="s">
        <v>10</v>
      </c>
      <c r="K43" s="3" t="s">
        <v>1415</v>
      </c>
      <c r="L43" s="31" t="str">
        <v>multimodal_interaction</v>
      </c>
      <c r="M43" s="30">
        <f t="shared" si="0"/>
        <v>1</v>
      </c>
      <c r="N43" s="31" t="str" cm="1">
        <f t="array" ref="N43">_xlfn.TEXTJOIN(", ",TRUE,_xlfn._xlws.FILTER(A43:A205,K43:K205=L43))</f>
        <v>B16</v>
      </c>
    </row>
    <row r="44" spans="1:14" ht="58" x14ac:dyDescent="0.35">
      <c r="A44" s="3" t="s">
        <v>69</v>
      </c>
      <c r="B44" s="3" t="s">
        <v>12</v>
      </c>
      <c r="C44" s="3" t="s">
        <v>760</v>
      </c>
      <c r="D44" s="3" t="s">
        <v>779</v>
      </c>
      <c r="E44" s="3" t="s">
        <v>817</v>
      </c>
      <c r="F44" s="3" t="s">
        <v>772</v>
      </c>
      <c r="G44" s="3" t="s">
        <v>766</v>
      </c>
      <c r="H44" s="3" t="s">
        <v>783</v>
      </c>
      <c r="I44" s="3" t="s">
        <v>10</v>
      </c>
      <c r="J44" s="3" t="s">
        <v>10</v>
      </c>
      <c r="K44" s="3" t="s">
        <v>1416</v>
      </c>
      <c r="L44" s="31" t="str">
        <v>static_design</v>
      </c>
      <c r="M44" s="30">
        <f t="shared" si="0"/>
        <v>1</v>
      </c>
      <c r="N44" s="31" t="str" cm="1">
        <f t="array" ref="N44">_xlfn.TEXTJOIN(", ",TRUE,_xlfn._xlws.FILTER(A44:A206,K44:K206=L44))</f>
        <v>B16</v>
      </c>
    </row>
    <row r="45" spans="1:14" ht="43.5" x14ac:dyDescent="0.35">
      <c r="A45" s="3" t="s">
        <v>72</v>
      </c>
      <c r="B45" s="3" t="s">
        <v>12</v>
      </c>
      <c r="C45" s="3" t="s">
        <v>818</v>
      </c>
      <c r="D45" s="3" t="s">
        <v>751</v>
      </c>
      <c r="E45" s="3" t="s">
        <v>819</v>
      </c>
      <c r="F45" s="3" t="s">
        <v>772</v>
      </c>
      <c r="G45" s="3" t="s">
        <v>764</v>
      </c>
      <c r="H45" s="3" t="s">
        <v>10</v>
      </c>
      <c r="I45" s="3" t="s">
        <v>10</v>
      </c>
      <c r="J45" s="3" t="s">
        <v>10</v>
      </c>
      <c r="K45" s="3" t="s">
        <v>1417</v>
      </c>
      <c r="L45" s="31" t="str">
        <v>qualitative_feedback_scarcity</v>
      </c>
      <c r="M45" s="30">
        <f t="shared" si="0"/>
        <v>1</v>
      </c>
      <c r="N45" s="31" t="str" cm="1">
        <f t="array" ref="N45">_xlfn.TEXTJOIN(", ",TRUE,_xlfn._xlws.FILTER(A45:A207,K45:K207=L45))</f>
        <v>B18</v>
      </c>
    </row>
    <row r="46" spans="1:14" ht="43.5" x14ac:dyDescent="0.35">
      <c r="A46" s="3" t="s">
        <v>72</v>
      </c>
      <c r="B46" s="3" t="s">
        <v>12</v>
      </c>
      <c r="C46" s="3" t="s">
        <v>818</v>
      </c>
      <c r="D46" s="3" t="s">
        <v>757</v>
      </c>
      <c r="E46" s="3" t="s">
        <v>820</v>
      </c>
      <c r="F46" s="3" t="s">
        <v>772</v>
      </c>
      <c r="G46" s="3" t="s">
        <v>766</v>
      </c>
      <c r="H46" s="3" t="s">
        <v>10</v>
      </c>
      <c r="I46" s="3" t="s">
        <v>10</v>
      </c>
      <c r="J46" s="3" t="s">
        <v>10</v>
      </c>
      <c r="K46" s="3" t="s">
        <v>1417</v>
      </c>
      <c r="L46" s="31" t="str">
        <v>limited_external_validity</v>
      </c>
      <c r="M46" s="30">
        <f t="shared" si="0"/>
        <v>1</v>
      </c>
      <c r="N46" s="31" t="str" cm="1">
        <f t="array" ref="N46">_xlfn.TEXTJOIN(", ",TRUE,_xlfn._xlws.FILTER(A46:A208,K46:K208=L46))</f>
        <v>B18</v>
      </c>
    </row>
    <row r="47" spans="1:14" ht="43.5" x14ac:dyDescent="0.35">
      <c r="A47" s="3" t="s">
        <v>72</v>
      </c>
      <c r="B47" s="3" t="s">
        <v>12</v>
      </c>
      <c r="C47" s="3" t="s">
        <v>818</v>
      </c>
      <c r="D47" s="3" t="s">
        <v>776</v>
      </c>
      <c r="E47" s="3" t="s">
        <v>821</v>
      </c>
      <c r="F47" s="3" t="s">
        <v>772</v>
      </c>
      <c r="G47" s="3" t="s">
        <v>764</v>
      </c>
      <c r="H47" s="3" t="s">
        <v>10</v>
      </c>
      <c r="I47" s="3" t="s">
        <v>10</v>
      </c>
      <c r="J47" s="3" t="s">
        <v>10</v>
      </c>
      <c r="K47" s="3" t="s">
        <v>1417</v>
      </c>
      <c r="L47" s="31" t="str">
        <v>absent_value_perception</v>
      </c>
      <c r="M47" s="30">
        <f t="shared" si="0"/>
        <v>1</v>
      </c>
      <c r="N47" s="31" t="str" cm="1">
        <f t="array" ref="N47">_xlfn.TEXTJOIN(", ",TRUE,_xlfn._xlws.FILTER(A47:A209,K47:K209=L47))</f>
        <v>B18</v>
      </c>
    </row>
    <row r="48" spans="1:14" ht="43.5" x14ac:dyDescent="0.35">
      <c r="A48" s="3" t="s">
        <v>72</v>
      </c>
      <c r="B48" s="3" t="s">
        <v>12</v>
      </c>
      <c r="C48" s="3" t="s">
        <v>818</v>
      </c>
      <c r="D48" s="3" t="s">
        <v>779</v>
      </c>
      <c r="E48" s="3" t="s">
        <v>822</v>
      </c>
      <c r="F48" s="3" t="s">
        <v>772</v>
      </c>
      <c r="G48" s="3" t="s">
        <v>764</v>
      </c>
      <c r="H48" s="3" t="s">
        <v>10</v>
      </c>
      <c r="I48" s="3" t="s">
        <v>10</v>
      </c>
      <c r="J48" s="3" t="s">
        <v>10</v>
      </c>
      <c r="K48" s="3" t="s">
        <v>1417</v>
      </c>
      <c r="L48" s="31" t="str">
        <v>reporting_rigor_scarcity</v>
      </c>
      <c r="M48" s="30">
        <f t="shared" si="0"/>
        <v>2</v>
      </c>
      <c r="N48" s="31" t="str" cm="1">
        <f t="array" ref="N48">_xlfn.TEXTJOIN(", ",TRUE,_xlfn._xlws.FILTER(A48:A210,K48:K210=L48))</f>
        <v>B20, B20</v>
      </c>
    </row>
    <row r="49" spans="1:14" ht="87" x14ac:dyDescent="0.35">
      <c r="A49" s="3" t="s">
        <v>72</v>
      </c>
      <c r="B49" s="3" t="s">
        <v>12</v>
      </c>
      <c r="C49" s="3" t="s">
        <v>818</v>
      </c>
      <c r="D49" s="3" t="s">
        <v>781</v>
      </c>
      <c r="E49" s="3" t="s">
        <v>823</v>
      </c>
      <c r="F49" s="3" t="s">
        <v>772</v>
      </c>
      <c r="G49" s="3" t="s">
        <v>764</v>
      </c>
      <c r="H49" s="3" t="s">
        <v>10</v>
      </c>
      <c r="I49" s="3" t="s">
        <v>10</v>
      </c>
      <c r="J49" s="3" t="s">
        <v>10</v>
      </c>
      <c r="K49" s="3" t="s">
        <v>1417</v>
      </c>
      <c r="L49" s="31" t="str">
        <v>absent_social_implications</v>
      </c>
      <c r="M49" s="30">
        <f t="shared" si="0"/>
        <v>1</v>
      </c>
      <c r="N49" s="31" t="str" cm="1">
        <f t="array" ref="N49">_xlfn.TEXTJOIN(", ",TRUE,_xlfn._xlws.FILTER(A49:A211,K49:K211=L49))</f>
        <v>B20</v>
      </c>
    </row>
    <row r="50" spans="1:14" ht="72.5" x14ac:dyDescent="0.35">
      <c r="A50" s="3" t="s">
        <v>72</v>
      </c>
      <c r="B50" s="3" t="s">
        <v>12</v>
      </c>
      <c r="C50" s="3" t="s">
        <v>818</v>
      </c>
      <c r="D50" s="3" t="s">
        <v>784</v>
      </c>
      <c r="E50" s="3" t="s">
        <v>824</v>
      </c>
      <c r="F50" s="3" t="s">
        <v>772</v>
      </c>
      <c r="G50" s="3" t="s">
        <v>766</v>
      </c>
      <c r="H50" s="3" t="s">
        <v>10</v>
      </c>
      <c r="I50" s="3" t="s">
        <v>10</v>
      </c>
      <c r="J50" s="3" t="s">
        <v>10</v>
      </c>
      <c r="K50" s="3" t="s">
        <v>1417</v>
      </c>
      <c r="L50" s="31" t="str">
        <v>predominance_of_development_studies</v>
      </c>
      <c r="M50" s="30">
        <f t="shared" si="0"/>
        <v>1</v>
      </c>
      <c r="N50" s="31" t="str" cm="1">
        <f t="array" ref="N50">_xlfn.TEXTJOIN(", ",TRUE,_xlfn._xlws.FILTER(A50:A212,K50:K212=L50))</f>
        <v>B20</v>
      </c>
    </row>
    <row r="51" spans="1:14" ht="72.5" x14ac:dyDescent="0.35">
      <c r="A51" s="3" t="s">
        <v>72</v>
      </c>
      <c r="B51" s="3" t="s">
        <v>12</v>
      </c>
      <c r="C51" s="3" t="s">
        <v>818</v>
      </c>
      <c r="D51" s="3" t="s">
        <v>825</v>
      </c>
      <c r="E51" s="3" t="s">
        <v>826</v>
      </c>
      <c r="F51" s="3" t="s">
        <v>772</v>
      </c>
      <c r="G51" s="3" t="s">
        <v>766</v>
      </c>
      <c r="H51" s="3" t="s">
        <v>10</v>
      </c>
      <c r="I51" s="3" t="s">
        <v>10</v>
      </c>
      <c r="J51" s="3" t="s">
        <v>10</v>
      </c>
      <c r="K51" s="3" t="s">
        <v>1417</v>
      </c>
      <c r="L51" s="31" t="str">
        <v>omission_of_human_support</v>
      </c>
      <c r="M51" s="30">
        <f t="shared" si="0"/>
        <v>1</v>
      </c>
      <c r="N51" s="31" t="str" cm="1">
        <f t="array" ref="N51">_xlfn.TEXTJOIN(", ",TRUE,_xlfn._xlws.FILTER(A51:A213,K51:K213=L51))</f>
        <v>B20</v>
      </c>
    </row>
    <row r="52" spans="1:14" ht="58" x14ac:dyDescent="0.35">
      <c r="A52" s="3" t="s">
        <v>72</v>
      </c>
      <c r="B52" s="3" t="s">
        <v>12</v>
      </c>
      <c r="C52" s="3" t="s">
        <v>818</v>
      </c>
      <c r="D52" s="3" t="s">
        <v>827</v>
      </c>
      <c r="E52" s="3" t="s">
        <v>828</v>
      </c>
      <c r="F52" s="3" t="s">
        <v>772</v>
      </c>
      <c r="G52" s="3" t="s">
        <v>764</v>
      </c>
      <c r="H52" s="3" t="s">
        <v>10</v>
      </c>
      <c r="I52" s="3" t="s">
        <v>10</v>
      </c>
      <c r="J52" s="3" t="s">
        <v>10</v>
      </c>
      <c r="K52" s="3" t="s">
        <v>1417</v>
      </c>
      <c r="L52" s="31" t="str">
        <v>technical_operational_restrictions</v>
      </c>
      <c r="M52" s="30">
        <f t="shared" si="0"/>
        <v>1</v>
      </c>
      <c r="N52" s="31" t="str" cm="1">
        <f t="array" ref="N52">_xlfn.TEXTJOIN(", ",TRUE,_xlfn._xlws.FILTER(A52:A214,K52:K214=L52))</f>
        <v>B21</v>
      </c>
    </row>
    <row r="53" spans="1:14" ht="43.5" x14ac:dyDescent="0.35">
      <c r="A53" s="3" t="s">
        <v>72</v>
      </c>
      <c r="B53" s="3" t="s">
        <v>12</v>
      </c>
      <c r="C53" s="3" t="s">
        <v>818</v>
      </c>
      <c r="D53" s="3" t="s">
        <v>829</v>
      </c>
      <c r="E53" s="3" t="s">
        <v>830</v>
      </c>
      <c r="F53" s="3" t="s">
        <v>772</v>
      </c>
      <c r="G53" s="3" t="s">
        <v>766</v>
      </c>
      <c r="H53" s="3" t="s">
        <v>10</v>
      </c>
      <c r="I53" s="3" t="s">
        <v>10</v>
      </c>
      <c r="J53" s="3" t="s">
        <v>10</v>
      </c>
      <c r="K53" s="3" t="s">
        <v>1417</v>
      </c>
      <c r="L53" s="31" t="str">
        <v>usability_accessibility_barriers</v>
      </c>
      <c r="M53" s="30">
        <f t="shared" si="0"/>
        <v>3</v>
      </c>
      <c r="N53" s="31" t="str" cm="1">
        <f t="array" ref="N53">_xlfn.TEXTJOIN(", ",TRUE,_xlfn._xlws.FILTER(A53:A215,K53:K215=L53))</f>
        <v>B21, B21, C3</v>
      </c>
    </row>
    <row r="54" spans="1:14" ht="43.5" x14ac:dyDescent="0.35">
      <c r="A54" s="3" t="s">
        <v>72</v>
      </c>
      <c r="B54" s="3" t="s">
        <v>12</v>
      </c>
      <c r="C54" s="3" t="s">
        <v>818</v>
      </c>
      <c r="D54" s="3" t="s">
        <v>831</v>
      </c>
      <c r="E54" s="3" t="s">
        <v>832</v>
      </c>
      <c r="F54" s="3" t="s">
        <v>772</v>
      </c>
      <c r="G54" s="3" t="s">
        <v>10</v>
      </c>
      <c r="H54" s="3" t="s">
        <v>10</v>
      </c>
      <c r="I54" s="3" t="s">
        <v>10</v>
      </c>
      <c r="J54" s="3" t="s">
        <v>10</v>
      </c>
      <c r="K54" s="3" t="s">
        <v>1417</v>
      </c>
      <c r="L54" s="31" t="str">
        <v>resource_overload</v>
      </c>
      <c r="M54" s="30">
        <f t="shared" si="0"/>
        <v>1</v>
      </c>
      <c r="N54" s="31" t="str" cm="1">
        <f t="array" ref="N54">_xlfn.TEXTJOIN(", ",TRUE,_xlfn._xlws.FILTER(A54:A216,K54:K216=L54))</f>
        <v>B21</v>
      </c>
    </row>
    <row r="55" spans="1:14" ht="87" x14ac:dyDescent="0.35">
      <c r="A55" s="3" t="s">
        <v>72</v>
      </c>
      <c r="B55" s="3" t="s">
        <v>12</v>
      </c>
      <c r="C55" s="3" t="s">
        <v>818</v>
      </c>
      <c r="D55" s="3" t="s">
        <v>833</v>
      </c>
      <c r="E55" s="3" t="s">
        <v>834</v>
      </c>
      <c r="F55" s="3" t="s">
        <v>772</v>
      </c>
      <c r="G55" s="3" t="s">
        <v>10</v>
      </c>
      <c r="H55" s="3" t="s">
        <v>10</v>
      </c>
      <c r="I55" s="3" t="s">
        <v>10</v>
      </c>
      <c r="J55" s="3" t="s">
        <v>10</v>
      </c>
      <c r="K55" s="3" t="s">
        <v>1417</v>
      </c>
      <c r="L55" s="31" t="str">
        <v>emotional_subtext_comprehension</v>
      </c>
      <c r="M55" s="30">
        <f t="shared" si="0"/>
        <v>1</v>
      </c>
      <c r="N55" s="31" t="str" cm="1">
        <f t="array" ref="N55">_xlfn.TEXTJOIN(", ",TRUE,_xlfn._xlws.FILTER(A55:A217,K55:K217=L55))</f>
        <v>B22</v>
      </c>
    </row>
    <row r="56" spans="1:14" ht="43.5" x14ac:dyDescent="0.35">
      <c r="A56" s="3" t="s">
        <v>72</v>
      </c>
      <c r="B56" s="3" t="s">
        <v>12</v>
      </c>
      <c r="C56" s="3" t="s">
        <v>818</v>
      </c>
      <c r="D56" s="3" t="s">
        <v>835</v>
      </c>
      <c r="E56" s="3" t="s">
        <v>836</v>
      </c>
      <c r="F56" s="3" t="s">
        <v>772</v>
      </c>
      <c r="G56" s="3" t="s">
        <v>764</v>
      </c>
      <c r="H56" s="3" t="s">
        <v>10</v>
      </c>
      <c r="I56" s="3" t="s">
        <v>10</v>
      </c>
      <c r="J56" s="3" t="s">
        <v>10</v>
      </c>
      <c r="K56" s="3" t="s">
        <v>1417</v>
      </c>
      <c r="L56" s="31" t="str">
        <v>ethical_transparency_risk</v>
      </c>
      <c r="M56" s="30">
        <f t="shared" si="0"/>
        <v>1</v>
      </c>
      <c r="N56" s="31" t="str" cm="1">
        <f t="array" ref="N56">_xlfn.TEXTJOIN(", ",TRUE,_xlfn._xlws.FILTER(A56:A218,K56:K218=L56))</f>
        <v>B22</v>
      </c>
    </row>
    <row r="57" spans="1:14" ht="29" x14ac:dyDescent="0.35">
      <c r="A57" s="3" t="s">
        <v>72</v>
      </c>
      <c r="B57" s="3" t="s">
        <v>12</v>
      </c>
      <c r="C57" s="3" t="s">
        <v>818</v>
      </c>
      <c r="D57" s="3" t="s">
        <v>837</v>
      </c>
      <c r="E57" s="3" t="s">
        <v>838</v>
      </c>
      <c r="F57" s="3" t="s">
        <v>770</v>
      </c>
      <c r="G57" s="3" t="s">
        <v>10</v>
      </c>
      <c r="H57" s="3" t="s">
        <v>10</v>
      </c>
      <c r="I57" s="3" t="s">
        <v>10</v>
      </c>
      <c r="J57" s="3" t="s">
        <v>10</v>
      </c>
      <c r="K57" s="3" t="s">
        <v>1417</v>
      </c>
      <c r="L57" s="31" t="str">
        <v>cybersecurity_privileges_risk</v>
      </c>
      <c r="M57" s="30">
        <f t="shared" si="0"/>
        <v>1</v>
      </c>
      <c r="N57" s="31" t="str" cm="1">
        <f t="array" ref="N57">_xlfn.TEXTJOIN(", ",TRUE,_xlfn._xlws.FILTER(A57:A219,K57:K219=L57))</f>
        <v>B22</v>
      </c>
    </row>
    <row r="58" spans="1:14" ht="43.5" x14ac:dyDescent="0.35">
      <c r="A58" s="3" t="s">
        <v>72</v>
      </c>
      <c r="B58" s="3" t="s">
        <v>12</v>
      </c>
      <c r="C58" s="3" t="s">
        <v>818</v>
      </c>
      <c r="D58" s="3" t="s">
        <v>839</v>
      </c>
      <c r="E58" s="3" t="s">
        <v>840</v>
      </c>
      <c r="F58" s="3" t="s">
        <v>764</v>
      </c>
      <c r="G58" s="3" t="s">
        <v>10</v>
      </c>
      <c r="H58" s="3" t="s">
        <v>10</v>
      </c>
      <c r="I58" s="3" t="s">
        <v>10</v>
      </c>
      <c r="J58" s="3" t="s">
        <v>10</v>
      </c>
      <c r="K58" s="3" t="s">
        <v>1418</v>
      </c>
      <c r="L58" s="31" t="str">
        <v>ethical_user_behavior_risk</v>
      </c>
      <c r="M58" s="30">
        <f t="shared" si="0"/>
        <v>1</v>
      </c>
      <c r="N58" s="31" t="str" cm="1">
        <f t="array" ref="N58">_xlfn.TEXTJOIN(", ",TRUE,_xlfn._xlws.FILTER(A58:A220,K58:K220=L58))</f>
        <v>B22</v>
      </c>
    </row>
    <row r="59" spans="1:14" ht="29" x14ac:dyDescent="0.35">
      <c r="A59" s="3" t="s">
        <v>72</v>
      </c>
      <c r="B59" s="3" t="s">
        <v>12</v>
      </c>
      <c r="C59" s="3" t="s">
        <v>818</v>
      </c>
      <c r="D59" s="3" t="s">
        <v>841</v>
      </c>
      <c r="E59" s="3" t="s">
        <v>842</v>
      </c>
      <c r="F59" s="3" t="s">
        <v>764</v>
      </c>
      <c r="G59" s="3" t="s">
        <v>772</v>
      </c>
      <c r="H59" s="3" t="s">
        <v>10</v>
      </c>
      <c r="I59" s="3" t="s">
        <v>10</v>
      </c>
      <c r="J59" s="3" t="s">
        <v>10</v>
      </c>
      <c r="K59" s="3" t="s">
        <v>1419</v>
      </c>
      <c r="L59" s="31" t="str">
        <v>autonomy_complexity_risk</v>
      </c>
      <c r="M59" s="30">
        <f t="shared" si="0"/>
        <v>6</v>
      </c>
      <c r="N59" s="31" t="str" cm="1">
        <f t="array" ref="N59">_xlfn.TEXTJOIN(", ",TRUE,_xlfn._xlws.FILTER(A59:A221,K59:K221=L59))</f>
        <v>B23, B23, B23, B23, B25, B25</v>
      </c>
    </row>
    <row r="60" spans="1:14" ht="58" x14ac:dyDescent="0.35">
      <c r="A60" s="3" t="s">
        <v>72</v>
      </c>
      <c r="B60" s="3" t="s">
        <v>12</v>
      </c>
      <c r="C60" s="3" t="s">
        <v>818</v>
      </c>
      <c r="D60" s="3" t="s">
        <v>843</v>
      </c>
      <c r="E60" s="3" t="s">
        <v>844</v>
      </c>
      <c r="F60" s="3" t="s">
        <v>772</v>
      </c>
      <c r="G60" s="3" t="s">
        <v>766</v>
      </c>
      <c r="H60" s="3" t="s">
        <v>10</v>
      </c>
      <c r="I60" s="3" t="s">
        <v>10</v>
      </c>
      <c r="J60" s="3" t="s">
        <v>10</v>
      </c>
      <c r="K60" s="3" t="s">
        <v>1419</v>
      </c>
      <c r="L60" s="31" t="str">
        <v>personal_data_security_risk</v>
      </c>
      <c r="M60" s="30">
        <f t="shared" si="0"/>
        <v>3</v>
      </c>
      <c r="N60" s="31" t="str" cm="1">
        <f t="array" ref="N60">_xlfn.TEXTJOIN(", ",TRUE,_xlfn._xlws.FILTER(A60:A222,K60:K222=L60))</f>
        <v>B23, B23, B23</v>
      </c>
    </row>
    <row r="61" spans="1:14" ht="58" x14ac:dyDescent="0.35">
      <c r="A61" s="3" t="s">
        <v>72</v>
      </c>
      <c r="B61" s="3" t="s">
        <v>12</v>
      </c>
      <c r="C61" s="3" t="s">
        <v>818</v>
      </c>
      <c r="D61" s="3" t="s">
        <v>845</v>
      </c>
      <c r="E61" s="3" t="s">
        <v>846</v>
      </c>
      <c r="F61" s="3" t="s">
        <v>759</v>
      </c>
      <c r="G61" s="3" t="s">
        <v>764</v>
      </c>
      <c r="H61" s="3" t="s">
        <v>772</v>
      </c>
      <c r="I61" s="3" t="s">
        <v>10</v>
      </c>
      <c r="J61" s="3" t="s">
        <v>10</v>
      </c>
      <c r="K61" s="3" t="s">
        <v>1420</v>
      </c>
      <c r="L61" s="31" t="str">
        <v>lack_of_data_use_transparency</v>
      </c>
      <c r="M61" s="30">
        <f t="shared" si="0"/>
        <v>2</v>
      </c>
      <c r="N61" s="31" t="str" cm="1">
        <f t="array" ref="N61">_xlfn.TEXTJOIN(", ",TRUE,_xlfn._xlws.FILTER(A61:A223,K61:K223=L61))</f>
        <v>B23, B23</v>
      </c>
    </row>
    <row r="62" spans="1:14" ht="58" x14ac:dyDescent="0.35">
      <c r="A62" s="3" t="s">
        <v>72</v>
      </c>
      <c r="B62" s="3" t="s">
        <v>12</v>
      </c>
      <c r="C62" s="3" t="s">
        <v>818</v>
      </c>
      <c r="D62" s="3" t="s">
        <v>847</v>
      </c>
      <c r="E62" s="3" t="s">
        <v>848</v>
      </c>
      <c r="F62" s="3" t="s">
        <v>764</v>
      </c>
      <c r="G62" s="3" t="s">
        <v>772</v>
      </c>
      <c r="H62" s="3" t="s">
        <v>10</v>
      </c>
      <c r="I62" s="3" t="s">
        <v>10</v>
      </c>
      <c r="J62" s="3" t="s">
        <v>10</v>
      </c>
      <c r="K62" s="3" t="s">
        <v>1417</v>
      </c>
      <c r="L62" s="31" t="str">
        <v>evaluation_metrics_validity</v>
      </c>
      <c r="M62" s="30">
        <f t="shared" si="0"/>
        <v>4</v>
      </c>
      <c r="N62" s="31" t="str" cm="1">
        <f t="array" ref="N62">_xlfn.TEXTJOIN(", ",TRUE,_xlfn._xlws.FILTER(A62:A224,K62:K224=L62))</f>
        <v>B24, B24, B26, C2</v>
      </c>
    </row>
    <row r="63" spans="1:14" ht="58" x14ac:dyDescent="0.35">
      <c r="A63" s="3" t="s">
        <v>72</v>
      </c>
      <c r="B63" s="3" t="s">
        <v>12</v>
      </c>
      <c r="C63" s="3" t="s">
        <v>818</v>
      </c>
      <c r="D63" s="3" t="s">
        <v>849</v>
      </c>
      <c r="E63" s="3" t="s">
        <v>850</v>
      </c>
      <c r="F63" s="3" t="s">
        <v>772</v>
      </c>
      <c r="G63" s="3" t="s">
        <v>770</v>
      </c>
      <c r="H63" s="3" t="s">
        <v>764</v>
      </c>
      <c r="I63" s="3" t="s">
        <v>10</v>
      </c>
      <c r="J63" s="3" t="s">
        <v>10</v>
      </c>
      <c r="K63" s="3" t="s">
        <v>1417</v>
      </c>
      <c r="L63" s="31" t="str">
        <v>low_fidelity_user_simulators</v>
      </c>
      <c r="M63" s="30">
        <f t="shared" si="0"/>
        <v>1</v>
      </c>
      <c r="N63" s="31" t="str" cm="1">
        <f t="array" ref="N63">_xlfn.TEXTJOIN(", ",TRUE,_xlfn._xlws.FILTER(A63:A225,K63:K225=L63))</f>
        <v>B24</v>
      </c>
    </row>
    <row r="64" spans="1:14" ht="58" x14ac:dyDescent="0.35">
      <c r="A64" s="3" t="s">
        <v>72</v>
      </c>
      <c r="B64" s="3" t="s">
        <v>12</v>
      </c>
      <c r="C64" s="3" t="s">
        <v>818</v>
      </c>
      <c r="D64" s="3" t="s">
        <v>851</v>
      </c>
      <c r="E64" s="3" t="s">
        <v>852</v>
      </c>
      <c r="F64" s="3" t="s">
        <v>759</v>
      </c>
      <c r="G64" s="3" t="s">
        <v>764</v>
      </c>
      <c r="H64" s="3" t="s">
        <v>772</v>
      </c>
      <c r="I64" s="3" t="s">
        <v>10</v>
      </c>
      <c r="J64" s="3" t="s">
        <v>10</v>
      </c>
      <c r="K64" s="3" t="s">
        <v>1417</v>
      </c>
      <c r="L64" s="31" t="str">
        <v>semantic_structural_comprehension</v>
      </c>
      <c r="M64" s="30">
        <f t="shared" si="0"/>
        <v>1</v>
      </c>
      <c r="N64" s="31" t="str" cm="1">
        <f t="array" ref="N64">_xlfn.TEXTJOIN(", ",TRUE,_xlfn._xlws.FILTER(A64:A226,K64:K226=L64))</f>
        <v>B24</v>
      </c>
    </row>
    <row r="65" spans="1:14" ht="72.5" x14ac:dyDescent="0.35">
      <c r="A65" s="3" t="s">
        <v>72</v>
      </c>
      <c r="B65" s="3" t="s">
        <v>12</v>
      </c>
      <c r="C65" s="3" t="s">
        <v>818</v>
      </c>
      <c r="D65" s="3" t="s">
        <v>853</v>
      </c>
      <c r="E65" s="3" t="s">
        <v>854</v>
      </c>
      <c r="F65" s="3" t="s">
        <v>772</v>
      </c>
      <c r="G65" s="3" t="s">
        <v>764</v>
      </c>
      <c r="H65" s="3" t="s">
        <v>10</v>
      </c>
      <c r="I65" s="3" t="s">
        <v>10</v>
      </c>
      <c r="J65" s="3" t="s">
        <v>10</v>
      </c>
      <c r="K65" s="3" t="s">
        <v>1417</v>
      </c>
      <c r="L65" s="31" t="str">
        <v>data_complexity_cost</v>
      </c>
      <c r="M65" s="30">
        <f t="shared" si="0"/>
        <v>1</v>
      </c>
      <c r="N65" s="31" t="str" cm="1">
        <f t="array" ref="N65">_xlfn.TEXTJOIN(", ",TRUE,_xlfn._xlws.FILTER(A65:A227,K65:K227=L65))</f>
        <v>B24</v>
      </c>
    </row>
    <row r="66" spans="1:14" ht="43.5" x14ac:dyDescent="0.35">
      <c r="A66" s="3" t="s">
        <v>72</v>
      </c>
      <c r="B66" s="3" t="s">
        <v>12</v>
      </c>
      <c r="C66" s="3" t="s">
        <v>818</v>
      </c>
      <c r="D66" s="3" t="s">
        <v>855</v>
      </c>
      <c r="E66" s="3" t="s">
        <v>856</v>
      </c>
      <c r="F66" s="3" t="s">
        <v>770</v>
      </c>
      <c r="G66" s="3" t="s">
        <v>772</v>
      </c>
      <c r="H66" s="3" t="s">
        <v>10</v>
      </c>
      <c r="I66" s="3" t="s">
        <v>10</v>
      </c>
      <c r="J66" s="3" t="s">
        <v>10</v>
      </c>
      <c r="K66" s="3" t="s">
        <v>1421</v>
      </c>
      <c r="L66" s="31" t="str">
        <v>new_domain_generalization</v>
      </c>
      <c r="M66" s="30">
        <f t="shared" si="0"/>
        <v>1</v>
      </c>
      <c r="N66" s="31" t="str" cm="1">
        <f t="array" ref="N66">_xlfn.TEXTJOIN(", ",TRUE,_xlfn._xlws.FILTER(A66:A228,K66:K228=L66))</f>
        <v>B24</v>
      </c>
    </row>
    <row r="67" spans="1:14" ht="58" x14ac:dyDescent="0.35">
      <c r="A67" s="3" t="s">
        <v>72</v>
      </c>
      <c r="B67" s="3" t="s">
        <v>12</v>
      </c>
      <c r="C67" s="3" t="s">
        <v>818</v>
      </c>
      <c r="D67" s="3" t="s">
        <v>857</v>
      </c>
      <c r="E67" s="3" t="s">
        <v>858</v>
      </c>
      <c r="F67" s="3" t="s">
        <v>772</v>
      </c>
      <c r="G67" s="3" t="s">
        <v>764</v>
      </c>
      <c r="H67" s="3" t="s">
        <v>10</v>
      </c>
      <c r="I67" s="3" t="s">
        <v>10</v>
      </c>
      <c r="J67" s="3" t="s">
        <v>10</v>
      </c>
      <c r="K67" s="3" t="s">
        <v>1417</v>
      </c>
      <c r="L67" s="31" t="str">
        <v>health_inactivity_risk</v>
      </c>
      <c r="M67" s="30">
        <f t="shared" ref="M67:M89" si="1">COUNTIF(K67:K229,L67)</f>
        <v>1</v>
      </c>
      <c r="N67" s="31" t="str" cm="1">
        <f t="array" ref="N67">_xlfn.TEXTJOIN(", ",TRUE,_xlfn._xlws.FILTER(A67:A229,K67:K229=L67))</f>
        <v>B25</v>
      </c>
    </row>
    <row r="68" spans="1:14" ht="58" x14ac:dyDescent="0.35">
      <c r="A68" s="3" t="s">
        <v>72</v>
      </c>
      <c r="B68" s="3" t="s">
        <v>12</v>
      </c>
      <c r="C68" s="3" t="s">
        <v>818</v>
      </c>
      <c r="D68" s="3" t="s">
        <v>859</v>
      </c>
      <c r="E68" s="3" t="s">
        <v>860</v>
      </c>
      <c r="F68" s="3" t="s">
        <v>772</v>
      </c>
      <c r="G68" s="3" t="s">
        <v>764</v>
      </c>
      <c r="H68" s="3" t="s">
        <v>10</v>
      </c>
      <c r="I68" s="3" t="s">
        <v>10</v>
      </c>
      <c r="J68" s="3" t="s">
        <v>10</v>
      </c>
      <c r="K68" s="3" t="s">
        <v>1422</v>
      </c>
      <c r="L68" s="31" t="str">
        <v>unemployement_risk_by_automation</v>
      </c>
      <c r="M68" s="30">
        <f t="shared" si="1"/>
        <v>1</v>
      </c>
      <c r="N68" s="31" t="str" cm="1">
        <f t="array" ref="N68">_xlfn.TEXTJOIN(", ",TRUE,_xlfn._xlws.FILTER(A68:A230,K68:K230=L68))</f>
        <v>B25</v>
      </c>
    </row>
    <row r="69" spans="1:14" ht="43.5" x14ac:dyDescent="0.35">
      <c r="A69" s="3" t="s">
        <v>72</v>
      </c>
      <c r="B69" s="3" t="s">
        <v>12</v>
      </c>
      <c r="C69" s="3" t="s">
        <v>818</v>
      </c>
      <c r="D69" s="3" t="s">
        <v>861</v>
      </c>
      <c r="E69" s="3" t="s">
        <v>862</v>
      </c>
      <c r="F69" s="3" t="s">
        <v>767</v>
      </c>
      <c r="G69" s="3" t="s">
        <v>772</v>
      </c>
      <c r="H69" s="3" t="s">
        <v>10</v>
      </c>
      <c r="I69" s="3" t="s">
        <v>10</v>
      </c>
      <c r="J69" s="3" t="s">
        <v>10</v>
      </c>
      <c r="K69" s="3" t="s">
        <v>1417</v>
      </c>
      <c r="L69" s="31" t="str">
        <v>physical_security_risk</v>
      </c>
      <c r="M69" s="30">
        <f t="shared" si="1"/>
        <v>1</v>
      </c>
      <c r="N69" s="31" t="str" cm="1">
        <f t="array" ref="N69">_xlfn.TEXTJOIN(", ",TRUE,_xlfn._xlws.FILTER(A69:A231,K69:K231=L69))</f>
        <v>B25</v>
      </c>
    </row>
    <row r="70" spans="1:14" ht="43.5" x14ac:dyDescent="0.35">
      <c r="A70" s="3" t="s">
        <v>72</v>
      </c>
      <c r="B70" s="3" t="s">
        <v>12</v>
      </c>
      <c r="C70" s="3" t="s">
        <v>818</v>
      </c>
      <c r="D70" s="3" t="s">
        <v>863</v>
      </c>
      <c r="E70" s="3" t="s">
        <v>864</v>
      </c>
      <c r="F70" s="3" t="s">
        <v>772</v>
      </c>
      <c r="G70" s="3" t="s">
        <v>767</v>
      </c>
      <c r="H70" s="3" t="s">
        <v>10</v>
      </c>
      <c r="I70" s="3" t="s">
        <v>10</v>
      </c>
      <c r="J70" s="3" t="s">
        <v>10</v>
      </c>
      <c r="K70" s="3" t="s">
        <v>1417</v>
      </c>
      <c r="L70" s="31" t="str">
        <v>social_isolation_risk</v>
      </c>
      <c r="M70" s="30">
        <f t="shared" si="1"/>
        <v>2</v>
      </c>
      <c r="N70" s="31" t="str" cm="1">
        <f t="array" ref="N70">_xlfn.TEXTJOIN(", ",TRUE,_xlfn._xlws.FILTER(A70:A232,K70:K232=L70))</f>
        <v>B25, B25</v>
      </c>
    </row>
    <row r="71" spans="1:14" ht="58" x14ac:dyDescent="0.35">
      <c r="A71" s="3" t="s">
        <v>72</v>
      </c>
      <c r="B71" s="3" t="s">
        <v>12</v>
      </c>
      <c r="C71" s="3" t="s">
        <v>818</v>
      </c>
      <c r="D71" s="3" t="s">
        <v>865</v>
      </c>
      <c r="E71" s="3" t="s">
        <v>866</v>
      </c>
      <c r="F71" s="3" t="s">
        <v>772</v>
      </c>
      <c r="G71" s="3" t="s">
        <v>764</v>
      </c>
      <c r="H71" s="3" t="s">
        <v>10</v>
      </c>
      <c r="I71" s="3" t="s">
        <v>10</v>
      </c>
      <c r="J71" s="3" t="s">
        <v>10</v>
      </c>
      <c r="K71" s="3" t="s">
        <v>1419</v>
      </c>
      <c r="L71" s="31" t="str">
        <v>graphic_illiteracy_barrier</v>
      </c>
      <c r="M71" s="30">
        <f t="shared" si="1"/>
        <v>1</v>
      </c>
      <c r="N71" s="31" t="str" cm="1">
        <f t="array" ref="N71">_xlfn.TEXTJOIN(", ",TRUE,_xlfn._xlws.FILTER(A71:A233,K71:K233=L71))</f>
        <v>B25</v>
      </c>
    </row>
    <row r="72" spans="1:14" ht="58" x14ac:dyDescent="0.35">
      <c r="A72" s="3" t="s">
        <v>72</v>
      </c>
      <c r="B72" s="3" t="s">
        <v>12</v>
      </c>
      <c r="C72" s="3" t="s">
        <v>818</v>
      </c>
      <c r="D72" s="3" t="s">
        <v>867</v>
      </c>
      <c r="E72" s="3" t="s">
        <v>868</v>
      </c>
      <c r="F72" s="3" t="s">
        <v>772</v>
      </c>
      <c r="G72" s="3" t="s">
        <v>759</v>
      </c>
      <c r="H72" s="3" t="s">
        <v>10</v>
      </c>
      <c r="I72" s="3" t="s">
        <v>10</v>
      </c>
      <c r="J72" s="3" t="s">
        <v>10</v>
      </c>
      <c r="K72" s="3" t="s">
        <v>1423</v>
      </c>
      <c r="L72" s="31" t="str">
        <v>ethical_manipulation_bias_risk</v>
      </c>
      <c r="M72" s="30">
        <f t="shared" si="1"/>
        <v>1</v>
      </c>
      <c r="N72" s="31" t="str" cm="1">
        <f t="array" ref="N72">_xlfn.TEXTJOIN(", ",TRUE,_xlfn._xlws.FILTER(A72:A234,K72:K234=L72))</f>
        <v>B25</v>
      </c>
    </row>
    <row r="73" spans="1:14" ht="72.5" x14ac:dyDescent="0.35">
      <c r="A73" s="3" t="s">
        <v>72</v>
      </c>
      <c r="B73" s="3" t="s">
        <v>12</v>
      </c>
      <c r="C73" s="3" t="s">
        <v>818</v>
      </c>
      <c r="D73" s="3" t="s">
        <v>869</v>
      </c>
      <c r="E73" s="3" t="s">
        <v>870</v>
      </c>
      <c r="F73" s="3" t="s">
        <v>772</v>
      </c>
      <c r="G73" s="3" t="s">
        <v>764</v>
      </c>
      <c r="H73" s="3" t="s">
        <v>10</v>
      </c>
      <c r="I73" s="3" t="s">
        <v>10</v>
      </c>
      <c r="J73" s="3" t="s">
        <v>10</v>
      </c>
      <c r="K73" s="3" t="s">
        <v>1417</v>
      </c>
      <c r="L73" s="31" t="str">
        <v>openness_personalization_limitation</v>
      </c>
      <c r="M73" s="30">
        <f t="shared" si="1"/>
        <v>1</v>
      </c>
      <c r="N73" s="31" t="str" cm="1">
        <f t="array" ref="N73">_xlfn.TEXTJOIN(", ",TRUE,_xlfn._xlws.FILTER(A73:A235,K73:K235=L73))</f>
        <v>B25</v>
      </c>
    </row>
    <row r="74" spans="1:14" ht="83" customHeight="1" x14ac:dyDescent="0.35">
      <c r="A74" s="3" t="s">
        <v>72</v>
      </c>
      <c r="B74" s="3" t="s">
        <v>12</v>
      </c>
      <c r="C74" s="3" t="s">
        <v>818</v>
      </c>
      <c r="D74" s="3" t="s">
        <v>871</v>
      </c>
      <c r="E74" s="3" t="s">
        <v>872</v>
      </c>
      <c r="F74" s="3" t="s">
        <v>772</v>
      </c>
      <c r="G74" s="3" t="s">
        <v>10</v>
      </c>
      <c r="H74" s="3" t="s">
        <v>10</v>
      </c>
      <c r="I74" s="3" t="s">
        <v>10</v>
      </c>
      <c r="J74" s="3" t="s">
        <v>10</v>
      </c>
      <c r="K74" s="3" t="s">
        <v>1417</v>
      </c>
      <c r="L74" s="31" t="str">
        <v>diverse_cultural_context_validation</v>
      </c>
      <c r="M74" s="30">
        <f t="shared" si="1"/>
        <v>1</v>
      </c>
      <c r="N74" s="31" t="str" cm="1">
        <f t="array" ref="N74">_xlfn.TEXTJOIN(", ",TRUE,_xlfn._xlws.FILTER(A74:A236,K74:K236=L74))</f>
        <v>B25</v>
      </c>
    </row>
    <row r="75" spans="1:14" ht="58" hidden="1" x14ac:dyDescent="0.35">
      <c r="A75" s="3" t="s">
        <v>76</v>
      </c>
      <c r="B75" s="3" t="s">
        <v>12</v>
      </c>
      <c r="C75" s="3" t="s">
        <v>754</v>
      </c>
      <c r="D75" s="3" t="s">
        <v>751</v>
      </c>
      <c r="E75" s="3" t="s">
        <v>873</v>
      </c>
      <c r="F75" s="3" t="s">
        <v>766</v>
      </c>
      <c r="G75" s="3" t="s">
        <v>10</v>
      </c>
      <c r="H75" s="3" t="s">
        <v>10</v>
      </c>
      <c r="I75" s="3" t="s">
        <v>10</v>
      </c>
      <c r="J75" s="3" t="s">
        <v>10</v>
      </c>
      <c r="K75" s="3" t="s">
        <v>1424</v>
      </c>
      <c r="L75" s="31" t="str">
        <v>theoretical_creativity_limitation</v>
      </c>
      <c r="M75" s="30">
        <f t="shared" si="1"/>
        <v>1</v>
      </c>
      <c r="N75" s="31" t="str" cm="1">
        <f t="array" ref="N75">_xlfn.TEXTJOIN(", ",TRUE,_xlfn._xlws.FILTER(A75:A237,K75:K237=L75))</f>
        <v>B25</v>
      </c>
    </row>
    <row r="76" spans="1:14" ht="29" hidden="1" x14ac:dyDescent="0.35">
      <c r="A76" s="3" t="s">
        <v>76</v>
      </c>
      <c r="B76" s="3" t="s">
        <v>12</v>
      </c>
      <c r="C76" s="3" t="s">
        <v>754</v>
      </c>
      <c r="D76" s="3" t="s">
        <v>757</v>
      </c>
      <c r="E76" s="3" t="s">
        <v>874</v>
      </c>
      <c r="F76" s="3" t="s">
        <v>767</v>
      </c>
      <c r="G76" s="3" t="s">
        <v>775</v>
      </c>
      <c r="H76" s="3" t="s">
        <v>10</v>
      </c>
      <c r="I76" s="3" t="s">
        <v>10</v>
      </c>
      <c r="J76" s="3" t="s">
        <v>10</v>
      </c>
      <c r="K76" s="3" t="s">
        <v>1391</v>
      </c>
      <c r="L76" s="31" t="str">
        <v>sensor_precision_limitation</v>
      </c>
      <c r="M76" s="30">
        <f t="shared" si="1"/>
        <v>1</v>
      </c>
      <c r="N76" s="31" t="str" cm="1">
        <f t="array" ref="N76">_xlfn.TEXTJOIN(", ",TRUE,_xlfn._xlws.FILTER(A76:A238,K76:K238=L76))</f>
        <v>B25</v>
      </c>
    </row>
    <row r="77" spans="1:14" ht="120.5" customHeight="1" x14ac:dyDescent="0.35">
      <c r="A77" s="3" t="s">
        <v>76</v>
      </c>
      <c r="B77" s="3" t="s">
        <v>12</v>
      </c>
      <c r="C77" s="3" t="s">
        <v>754</v>
      </c>
      <c r="D77" s="3" t="s">
        <v>776</v>
      </c>
      <c r="E77" s="3" t="s">
        <v>875</v>
      </c>
      <c r="F77" s="3" t="s">
        <v>767</v>
      </c>
      <c r="G77" s="3" t="s">
        <v>772</v>
      </c>
      <c r="H77" s="3" t="s">
        <v>10</v>
      </c>
      <c r="I77" s="3" t="s">
        <v>10</v>
      </c>
      <c r="J77" s="3" t="s">
        <v>10</v>
      </c>
      <c r="K77" s="3" t="s">
        <v>1399</v>
      </c>
      <c r="L77" s="31" t="str">
        <v>simple_user_interface</v>
      </c>
      <c r="M77" s="30">
        <f t="shared" si="1"/>
        <v>1</v>
      </c>
      <c r="N77" s="31" t="str" cm="1">
        <f t="array" ref="N77">_xlfn.TEXTJOIN(", ",TRUE,_xlfn._xlws.FILTER(A77:A239,K77:K239=L77))</f>
        <v>B25</v>
      </c>
    </row>
    <row r="78" spans="1:14" ht="29" x14ac:dyDescent="0.35">
      <c r="A78" s="3" t="s">
        <v>76</v>
      </c>
      <c r="B78" s="3" t="s">
        <v>12</v>
      </c>
      <c r="C78" s="3" t="s">
        <v>754</v>
      </c>
      <c r="D78" s="3" t="s">
        <v>779</v>
      </c>
      <c r="E78" s="3" t="s">
        <v>876</v>
      </c>
      <c r="F78" s="3" t="s">
        <v>767</v>
      </c>
      <c r="G78" s="3" t="s">
        <v>766</v>
      </c>
      <c r="H78" s="3" t="s">
        <v>764</v>
      </c>
      <c r="I78" s="3" t="s">
        <v>10</v>
      </c>
      <c r="J78" s="3" t="s">
        <v>10</v>
      </c>
      <c r="K78" s="3" t="s">
        <v>1418</v>
      </c>
      <c r="L78" s="31" t="str">
        <v>embodiment_mobility_limitation</v>
      </c>
      <c r="M78" s="30">
        <f t="shared" si="1"/>
        <v>1</v>
      </c>
      <c r="N78" s="31" t="str" cm="1">
        <f t="array" ref="N78">_xlfn.TEXTJOIN(", ",TRUE,_xlfn._xlws.FILTER(A78:A240,K78:K240=L78))</f>
        <v>B25</v>
      </c>
    </row>
    <row r="79" spans="1:14" ht="43.5" x14ac:dyDescent="0.35">
      <c r="A79" s="3" t="s">
        <v>76</v>
      </c>
      <c r="B79" s="3" t="s">
        <v>12</v>
      </c>
      <c r="C79" s="3" t="s">
        <v>754</v>
      </c>
      <c r="D79" s="3" t="s">
        <v>781</v>
      </c>
      <c r="E79" s="3" t="s">
        <v>877</v>
      </c>
      <c r="F79" s="3" t="s">
        <v>767</v>
      </c>
      <c r="G79" s="3" t="s">
        <v>764</v>
      </c>
      <c r="H79" s="3" t="s">
        <v>10</v>
      </c>
      <c r="I79" s="3" t="s">
        <v>10</v>
      </c>
      <c r="J79" s="3" t="s">
        <v>10</v>
      </c>
      <c r="K79" s="3" t="s">
        <v>1425</v>
      </c>
      <c r="L79" s="31" t="str">
        <v>infrastructure_connectivity_risk</v>
      </c>
      <c r="M79" s="30">
        <f t="shared" si="1"/>
        <v>1</v>
      </c>
      <c r="N79" s="31" t="str" cm="1">
        <f t="array" ref="N79">_xlfn.TEXTJOIN(", ",TRUE,_xlfn._xlws.FILTER(A79:A241,K79:K241=L79))</f>
        <v>B25</v>
      </c>
    </row>
    <row r="80" spans="1:14" ht="43.5" x14ac:dyDescent="0.35">
      <c r="A80" s="3" t="s">
        <v>82</v>
      </c>
      <c r="B80" s="3" t="s">
        <v>44</v>
      </c>
      <c r="C80" s="3" t="s">
        <v>754</v>
      </c>
      <c r="D80" s="3" t="s">
        <v>751</v>
      </c>
      <c r="E80" s="3" t="s">
        <v>878</v>
      </c>
      <c r="F80" s="3" t="s">
        <v>753</v>
      </c>
      <c r="G80" s="3" t="s">
        <v>759</v>
      </c>
      <c r="H80" s="3" t="s">
        <v>769</v>
      </c>
      <c r="I80" s="3" t="s">
        <v>10</v>
      </c>
      <c r="J80" s="3" t="s">
        <v>10</v>
      </c>
      <c r="K80" s="3" t="s">
        <v>1426</v>
      </c>
      <c r="L80" s="31" t="str">
        <v>inconsistent_behavior_personality</v>
      </c>
      <c r="M80" s="30">
        <f t="shared" si="1"/>
        <v>1</v>
      </c>
      <c r="N80" s="31" t="str" cm="1">
        <f t="array" ref="N80">_xlfn.TEXTJOIN(", ",TRUE,_xlfn._xlws.FILTER(A80:A242,K80:K242=L80))</f>
        <v>B26</v>
      </c>
    </row>
    <row r="81" spans="1:14" ht="29" x14ac:dyDescent="0.35">
      <c r="A81" s="3" t="s">
        <v>82</v>
      </c>
      <c r="B81" s="3" t="s">
        <v>44</v>
      </c>
      <c r="C81" s="3" t="s">
        <v>754</v>
      </c>
      <c r="D81" s="3" t="s">
        <v>757</v>
      </c>
      <c r="E81" s="3" t="s">
        <v>879</v>
      </c>
      <c r="F81" s="3" t="s">
        <v>753</v>
      </c>
      <c r="G81" s="3" t="s">
        <v>759</v>
      </c>
      <c r="H81" s="3" t="s">
        <v>10</v>
      </c>
      <c r="I81" s="3" t="s">
        <v>10</v>
      </c>
      <c r="J81" s="3" t="s">
        <v>10</v>
      </c>
      <c r="K81" s="3" t="s">
        <v>1427</v>
      </c>
      <c r="L81" s="31" t="str">
        <v>response_imprecision_ambiguity</v>
      </c>
      <c r="M81" s="30">
        <f t="shared" si="1"/>
        <v>1</v>
      </c>
      <c r="N81" s="31" t="str" cm="1">
        <f t="array" ref="N81">_xlfn.TEXTJOIN(", ",TRUE,_xlfn._xlws.FILTER(A81:A243,K81:K243=L81))</f>
        <v>B26</v>
      </c>
    </row>
    <row r="82" spans="1:14" ht="29" x14ac:dyDescent="0.35">
      <c r="A82" s="3" t="s">
        <v>82</v>
      </c>
      <c r="B82" s="3" t="s">
        <v>44</v>
      </c>
      <c r="C82" s="3" t="s">
        <v>754</v>
      </c>
      <c r="D82" s="3" t="s">
        <v>776</v>
      </c>
      <c r="E82" s="3" t="s">
        <v>880</v>
      </c>
      <c r="F82" s="3" t="s">
        <v>766</v>
      </c>
      <c r="G82" s="3" t="s">
        <v>769</v>
      </c>
      <c r="H82" s="3" t="s">
        <v>10</v>
      </c>
      <c r="I82" s="3" t="s">
        <v>10</v>
      </c>
      <c r="J82" s="3" t="s">
        <v>10</v>
      </c>
      <c r="K82" s="3" t="s">
        <v>1428</v>
      </c>
      <c r="L82" s="31" t="str">
        <v>legal_regulatory_implications</v>
      </c>
      <c r="M82" s="30">
        <f t="shared" si="1"/>
        <v>1</v>
      </c>
      <c r="N82" s="31" t="str" cm="1">
        <f t="array" ref="N82">_xlfn.TEXTJOIN(", ",TRUE,_xlfn._xlws.FILTER(A82:A244,K82:K244=L82))</f>
        <v>C1</v>
      </c>
    </row>
    <row r="83" spans="1:14" ht="43.5" x14ac:dyDescent="0.35">
      <c r="A83" s="3" t="s">
        <v>88</v>
      </c>
      <c r="B83" s="3" t="s">
        <v>7</v>
      </c>
      <c r="C83" s="3" t="s">
        <v>881</v>
      </c>
      <c r="D83" s="3" t="s">
        <v>751</v>
      </c>
      <c r="E83" s="3" t="s">
        <v>882</v>
      </c>
      <c r="F83" s="3" t="s">
        <v>759</v>
      </c>
      <c r="G83" s="3" t="s">
        <v>753</v>
      </c>
      <c r="H83" s="3" t="s">
        <v>756</v>
      </c>
      <c r="I83" s="3" t="s">
        <v>10</v>
      </c>
      <c r="J83" s="3" t="s">
        <v>10</v>
      </c>
      <c r="K83" s="3" t="s">
        <v>1429</v>
      </c>
      <c r="L83" s="31" t="str">
        <v>longitudinal_evaluation_lack</v>
      </c>
      <c r="M83" s="30">
        <f t="shared" si="1"/>
        <v>1</v>
      </c>
      <c r="N83" s="31" t="str" cm="1">
        <f t="array" ref="N83">_xlfn.TEXTJOIN(", ",TRUE,_xlfn._xlws.FILTER(A83:A245,K83:K245=L83))</f>
        <v>C2</v>
      </c>
    </row>
    <row r="84" spans="1:14" ht="29" x14ac:dyDescent="0.35">
      <c r="A84" s="3" t="s">
        <v>88</v>
      </c>
      <c r="B84" s="3" t="s">
        <v>7</v>
      </c>
      <c r="C84" s="3" t="s">
        <v>881</v>
      </c>
      <c r="D84" s="3" t="s">
        <v>757</v>
      </c>
      <c r="E84" s="3" t="s">
        <v>883</v>
      </c>
      <c r="F84" s="3" t="s">
        <v>783</v>
      </c>
      <c r="G84" s="3" t="s">
        <v>756</v>
      </c>
      <c r="H84" s="3" t="s">
        <v>10</v>
      </c>
      <c r="I84" s="3" t="s">
        <v>10</v>
      </c>
      <c r="J84" s="3" t="s">
        <v>10</v>
      </c>
      <c r="K84" s="3" t="s">
        <v>1430</v>
      </c>
      <c r="L84" s="31" t="str">
        <v>key_user_variables_omission</v>
      </c>
      <c r="M84" s="30">
        <f t="shared" si="1"/>
        <v>2</v>
      </c>
      <c r="N84" s="31" t="str" cm="1">
        <f t="array" ref="N84">_xlfn.TEXTJOIN(", ",TRUE,_xlfn._xlws.FILTER(A84:A246,K84:K246=L84))</f>
        <v>C2, C3</v>
      </c>
    </row>
    <row r="85" spans="1:14" ht="58" x14ac:dyDescent="0.35">
      <c r="A85" s="3" t="s">
        <v>88</v>
      </c>
      <c r="B85" s="3" t="s">
        <v>7</v>
      </c>
      <c r="C85" s="3" t="s">
        <v>881</v>
      </c>
      <c r="D85" s="3" t="s">
        <v>776</v>
      </c>
      <c r="E85" s="3" t="s">
        <v>884</v>
      </c>
      <c r="F85" s="3" t="s">
        <v>756</v>
      </c>
      <c r="G85" s="3" t="s">
        <v>10</v>
      </c>
      <c r="H85" s="3" t="s">
        <v>10</v>
      </c>
      <c r="I85" s="3" t="s">
        <v>10</v>
      </c>
      <c r="J85" s="3" t="s">
        <v>10</v>
      </c>
      <c r="K85" s="3" t="s">
        <v>1431</v>
      </c>
      <c r="L85" s="31" t="str">
        <v>granular_individual_analysis_lack</v>
      </c>
      <c r="M85" s="30">
        <f t="shared" si="1"/>
        <v>1</v>
      </c>
      <c r="N85" s="31" t="str" cm="1">
        <f t="array" ref="N85">_xlfn.TEXTJOIN(", ",TRUE,_xlfn._xlws.FILTER(A85:A247,K85:K247=L85))</f>
        <v>C2</v>
      </c>
    </row>
    <row r="86" spans="1:14" ht="29" x14ac:dyDescent="0.35">
      <c r="A86" s="3" t="s">
        <v>88</v>
      </c>
      <c r="B86" s="3" t="s">
        <v>7</v>
      </c>
      <c r="C86" s="3" t="s">
        <v>881</v>
      </c>
      <c r="D86" s="3" t="s">
        <v>779</v>
      </c>
      <c r="E86" s="3" t="s">
        <v>885</v>
      </c>
      <c r="F86" s="3" t="s">
        <v>753</v>
      </c>
      <c r="G86" s="3" t="s">
        <v>756</v>
      </c>
      <c r="H86" s="3" t="s">
        <v>10</v>
      </c>
      <c r="I86" s="3" t="s">
        <v>10</v>
      </c>
      <c r="J86" s="3" t="s">
        <v>10</v>
      </c>
      <c r="K86" s="3" t="s">
        <v>1429</v>
      </c>
      <c r="L86" s="31" t="str">
        <v>replicability_reproducibility_lack</v>
      </c>
      <c r="M86" s="30">
        <f t="shared" si="1"/>
        <v>1</v>
      </c>
      <c r="N86" s="31" t="str" cm="1">
        <f t="array" ref="N86">_xlfn.TEXTJOIN(", ",TRUE,_xlfn._xlws.FILTER(A86:A248,K86:K248=L86))</f>
        <v>C2</v>
      </c>
    </row>
    <row r="87" spans="1:14" ht="58" x14ac:dyDescent="0.35">
      <c r="A87" s="3" t="s">
        <v>88</v>
      </c>
      <c r="B87" s="3" t="s">
        <v>7</v>
      </c>
      <c r="C87" s="3" t="s">
        <v>881</v>
      </c>
      <c r="D87" s="3" t="s">
        <v>781</v>
      </c>
      <c r="E87" s="3" t="s">
        <v>886</v>
      </c>
      <c r="F87" s="3" t="s">
        <v>753</v>
      </c>
      <c r="G87" s="3" t="s">
        <v>759</v>
      </c>
      <c r="H87" s="3" t="s">
        <v>10</v>
      </c>
      <c r="I87" s="3" t="s">
        <v>10</v>
      </c>
      <c r="J87" s="3" t="s">
        <v>10</v>
      </c>
      <c r="K87" s="3" t="s">
        <v>1432</v>
      </c>
      <c r="L87" s="31" t="str">
        <v>quantitative_meta_analysis_absence</v>
      </c>
      <c r="M87" s="30">
        <f t="shared" si="1"/>
        <v>1</v>
      </c>
      <c r="N87" s="31" t="str" cm="1">
        <f t="array" ref="N87">_xlfn.TEXTJOIN(", ",TRUE,_xlfn._xlws.FILTER(A87:A249,K87:K249=L87))</f>
        <v>C2</v>
      </c>
    </row>
    <row r="88" spans="1:14" ht="72.5" x14ac:dyDescent="0.35">
      <c r="A88" s="3" t="s">
        <v>91</v>
      </c>
      <c r="B88" s="3" t="s">
        <v>7</v>
      </c>
      <c r="C88" s="3" t="s">
        <v>818</v>
      </c>
      <c r="D88" s="3" t="s">
        <v>751</v>
      </c>
      <c r="E88" s="3" t="s">
        <v>887</v>
      </c>
      <c r="F88" s="3" t="s">
        <v>775</v>
      </c>
      <c r="G88" s="3" t="s">
        <v>764</v>
      </c>
      <c r="H88" s="3" t="s">
        <v>766</v>
      </c>
      <c r="I88" s="3" t="s">
        <v>10</v>
      </c>
      <c r="J88" s="3" t="s">
        <v>10</v>
      </c>
      <c r="K88" s="3" t="s">
        <v>1433</v>
      </c>
      <c r="L88" s="31" t="str">
        <v>data_noise_user_modeling</v>
      </c>
      <c r="M88" s="30">
        <f t="shared" si="1"/>
        <v>1</v>
      </c>
      <c r="N88" s="31" t="str" cm="1">
        <f t="array" ref="N88">_xlfn.TEXTJOIN(", ",TRUE,_xlfn._xlws.FILTER(A88:A250,K88:K250=L88))</f>
        <v>C3</v>
      </c>
    </row>
    <row r="89" spans="1:14" ht="43.5" x14ac:dyDescent="0.35">
      <c r="A89" s="3" t="s">
        <v>91</v>
      </c>
      <c r="B89" s="3" t="s">
        <v>7</v>
      </c>
      <c r="C89" s="3" t="s">
        <v>818</v>
      </c>
      <c r="D89" s="3" t="s">
        <v>757</v>
      </c>
      <c r="E89" s="3" t="s">
        <v>888</v>
      </c>
      <c r="F89" s="3" t="s">
        <v>766</v>
      </c>
      <c r="G89" s="3" t="s">
        <v>783</v>
      </c>
      <c r="H89" s="3" t="s">
        <v>10</v>
      </c>
      <c r="I89" s="3" t="s">
        <v>10</v>
      </c>
      <c r="J89" s="3" t="s">
        <v>10</v>
      </c>
      <c r="K89" s="3" t="s">
        <v>1434</v>
      </c>
      <c r="L89" s="31" t="str">
        <v>transparency_explainability_lack</v>
      </c>
      <c r="M89" s="30">
        <f t="shared" si="1"/>
        <v>1</v>
      </c>
      <c r="N89" s="31" t="str" cm="1">
        <f t="array" ref="N89">_xlfn.TEXTJOIN(", ",TRUE,_xlfn._xlws.FILTER(A89:A251,K89:K251=L89))</f>
        <v>C3</v>
      </c>
    </row>
    <row r="90" spans="1:14" ht="43.5" x14ac:dyDescent="0.35">
      <c r="A90" s="3" t="s">
        <v>91</v>
      </c>
      <c r="B90" s="3" t="s">
        <v>7</v>
      </c>
      <c r="C90" s="3" t="s">
        <v>818</v>
      </c>
      <c r="D90" s="3" t="s">
        <v>776</v>
      </c>
      <c r="E90" s="3" t="s">
        <v>889</v>
      </c>
      <c r="F90" s="3" t="s">
        <v>766</v>
      </c>
      <c r="G90" s="3" t="s">
        <v>10</v>
      </c>
      <c r="H90" s="3" t="s">
        <v>10</v>
      </c>
      <c r="I90" s="3" t="s">
        <v>10</v>
      </c>
      <c r="J90" s="3" t="s">
        <v>10</v>
      </c>
      <c r="K90" s="3" t="s">
        <v>1434</v>
      </c>
      <c r="L90" s="1"/>
    </row>
    <row r="91" spans="1:14" ht="101.5" customHeight="1" x14ac:dyDescent="0.35">
      <c r="A91" s="3" t="s">
        <v>91</v>
      </c>
      <c r="B91" s="3" t="s">
        <v>7</v>
      </c>
      <c r="C91" s="3" t="s">
        <v>818</v>
      </c>
      <c r="D91" s="3" t="s">
        <v>779</v>
      </c>
      <c r="E91" s="3" t="s">
        <v>890</v>
      </c>
      <c r="F91" s="3" t="s">
        <v>766</v>
      </c>
      <c r="G91" s="3" t="s">
        <v>764</v>
      </c>
      <c r="H91" s="3" t="s">
        <v>762</v>
      </c>
      <c r="I91" s="3" t="s">
        <v>10</v>
      </c>
      <c r="J91" s="3" t="s">
        <v>10</v>
      </c>
      <c r="K91" s="3" t="s">
        <v>1435</v>
      </c>
      <c r="L91" s="1"/>
    </row>
    <row r="92" spans="1:14" ht="72.5" x14ac:dyDescent="0.35">
      <c r="A92" s="3" t="s">
        <v>94</v>
      </c>
      <c r="B92" s="3" t="s">
        <v>85</v>
      </c>
      <c r="C92" s="3" t="s">
        <v>750</v>
      </c>
      <c r="D92" s="3" t="s">
        <v>751</v>
      </c>
      <c r="E92" s="3" t="s">
        <v>891</v>
      </c>
      <c r="F92" s="3" t="s">
        <v>766</v>
      </c>
      <c r="G92" s="3" t="s">
        <v>772</v>
      </c>
      <c r="H92" s="3" t="s">
        <v>10</v>
      </c>
      <c r="I92" s="3" t="s">
        <v>10</v>
      </c>
      <c r="J92" s="3" t="s">
        <v>10</v>
      </c>
      <c r="K92" s="3" t="s">
        <v>1436</v>
      </c>
      <c r="L92" s="1"/>
    </row>
    <row r="93" spans="1:14" ht="58" x14ac:dyDescent="0.35">
      <c r="A93" s="3" t="s">
        <v>94</v>
      </c>
      <c r="B93" s="3" t="s">
        <v>85</v>
      </c>
      <c r="C93" s="3" t="s">
        <v>750</v>
      </c>
      <c r="D93" s="3" t="s">
        <v>757</v>
      </c>
      <c r="E93" s="3" t="s">
        <v>892</v>
      </c>
      <c r="F93" s="3" t="s">
        <v>772</v>
      </c>
      <c r="G93" s="3" t="s">
        <v>764</v>
      </c>
      <c r="H93" s="3" t="s">
        <v>10</v>
      </c>
      <c r="I93" s="3" t="s">
        <v>10</v>
      </c>
      <c r="J93" s="3" t="s">
        <v>10</v>
      </c>
      <c r="K93" s="3" t="s">
        <v>1417</v>
      </c>
      <c r="L93" s="1"/>
    </row>
    <row r="94" spans="1:14" ht="72.5" x14ac:dyDescent="0.35">
      <c r="A94" s="3" t="s">
        <v>94</v>
      </c>
      <c r="B94" s="3" t="s">
        <v>85</v>
      </c>
      <c r="C94" s="3" t="s">
        <v>750</v>
      </c>
      <c r="D94" s="3" t="s">
        <v>776</v>
      </c>
      <c r="E94" s="3" t="s">
        <v>893</v>
      </c>
      <c r="F94" s="3" t="s">
        <v>786</v>
      </c>
      <c r="G94" s="3" t="s">
        <v>770</v>
      </c>
      <c r="H94" s="3" t="s">
        <v>10</v>
      </c>
      <c r="I94" s="3" t="s">
        <v>10</v>
      </c>
      <c r="J94" s="3" t="s">
        <v>10</v>
      </c>
      <c r="K94" s="3" t="s">
        <v>1418</v>
      </c>
      <c r="L94" s="1"/>
    </row>
    <row r="95" spans="1:14" ht="58" x14ac:dyDescent="0.35">
      <c r="A95" s="3" t="s">
        <v>94</v>
      </c>
      <c r="B95" s="3" t="s">
        <v>85</v>
      </c>
      <c r="C95" s="3" t="s">
        <v>750</v>
      </c>
      <c r="D95" s="3" t="s">
        <v>779</v>
      </c>
      <c r="E95" s="3" t="s">
        <v>894</v>
      </c>
      <c r="F95" s="3" t="s">
        <v>783</v>
      </c>
      <c r="G95" s="3" t="s">
        <v>778</v>
      </c>
      <c r="H95" s="3" t="s">
        <v>786</v>
      </c>
      <c r="I95" s="3" t="s">
        <v>10</v>
      </c>
      <c r="J95" s="3" t="s">
        <v>10</v>
      </c>
      <c r="K95" s="3" t="s">
        <v>1415</v>
      </c>
      <c r="L95" s="1"/>
    </row>
    <row r="96" spans="1:14" ht="43.5" x14ac:dyDescent="0.35">
      <c r="A96" s="3" t="s">
        <v>94</v>
      </c>
      <c r="B96" s="3" t="s">
        <v>85</v>
      </c>
      <c r="C96" s="3" t="s">
        <v>750</v>
      </c>
      <c r="D96" s="3" t="s">
        <v>781</v>
      </c>
      <c r="E96" s="3" t="s">
        <v>895</v>
      </c>
      <c r="F96" s="3" t="s">
        <v>783</v>
      </c>
      <c r="G96" s="3" t="s">
        <v>775</v>
      </c>
      <c r="H96" s="3" t="s">
        <v>10</v>
      </c>
      <c r="I96" s="3" t="s">
        <v>10</v>
      </c>
      <c r="J96" s="3" t="s">
        <v>10</v>
      </c>
      <c r="K96" s="3" t="s">
        <v>1415</v>
      </c>
      <c r="L96" s="1"/>
    </row>
    <row r="97" spans="1:12" ht="43.5" x14ac:dyDescent="0.35">
      <c r="A97" s="3" t="s">
        <v>94</v>
      </c>
      <c r="B97" s="3" t="s">
        <v>85</v>
      </c>
      <c r="C97" s="3" t="s">
        <v>750</v>
      </c>
      <c r="D97" s="3" t="s">
        <v>784</v>
      </c>
      <c r="E97" s="3" t="s">
        <v>896</v>
      </c>
      <c r="F97" s="3" t="s">
        <v>783</v>
      </c>
      <c r="G97" s="3" t="s">
        <v>766</v>
      </c>
      <c r="H97" s="3" t="s">
        <v>762</v>
      </c>
      <c r="I97" s="3" t="s">
        <v>10</v>
      </c>
      <c r="J97" s="3" t="s">
        <v>10</v>
      </c>
      <c r="K97" s="3" t="s">
        <v>1437</v>
      </c>
      <c r="L97" s="1"/>
    </row>
    <row r="98" spans="1:12" ht="29" x14ac:dyDescent="0.35">
      <c r="A98" s="3" t="s">
        <v>94</v>
      </c>
      <c r="B98" s="3" t="s">
        <v>85</v>
      </c>
      <c r="C98" s="3" t="s">
        <v>750</v>
      </c>
      <c r="D98" s="3" t="s">
        <v>825</v>
      </c>
      <c r="E98" s="3" t="s">
        <v>897</v>
      </c>
      <c r="F98" s="3" t="s">
        <v>762</v>
      </c>
      <c r="G98" s="3" t="s">
        <v>10</v>
      </c>
      <c r="H98" s="3" t="s">
        <v>10</v>
      </c>
      <c r="I98" s="3" t="s">
        <v>10</v>
      </c>
      <c r="J98" s="3" t="s">
        <v>10</v>
      </c>
      <c r="K98" s="3" t="s">
        <v>1438</v>
      </c>
      <c r="L98" s="1"/>
    </row>
    <row r="99" spans="1:12" ht="43.5" x14ac:dyDescent="0.35">
      <c r="A99" s="3" t="s">
        <v>94</v>
      </c>
      <c r="B99" s="3" t="s">
        <v>85</v>
      </c>
      <c r="C99" s="3" t="s">
        <v>750</v>
      </c>
      <c r="D99" s="3" t="s">
        <v>827</v>
      </c>
      <c r="E99" s="3" t="s">
        <v>898</v>
      </c>
      <c r="F99" s="3" t="s">
        <v>783</v>
      </c>
      <c r="G99" s="3" t="s">
        <v>766</v>
      </c>
      <c r="H99" s="3" t="s">
        <v>10</v>
      </c>
      <c r="I99" s="3" t="s">
        <v>10</v>
      </c>
      <c r="J99" s="3" t="s">
        <v>10</v>
      </c>
      <c r="K99" s="3" t="s">
        <v>1439</v>
      </c>
      <c r="L99" s="1"/>
    </row>
    <row r="100" spans="1:12" ht="58" x14ac:dyDescent="0.35">
      <c r="A100" s="3" t="s">
        <v>97</v>
      </c>
      <c r="B100" s="3" t="s">
        <v>85</v>
      </c>
      <c r="C100" s="3" t="s">
        <v>760</v>
      </c>
      <c r="D100" s="3" t="s">
        <v>751</v>
      </c>
      <c r="E100" s="3" t="s">
        <v>899</v>
      </c>
      <c r="F100" s="3" t="s">
        <v>783</v>
      </c>
      <c r="G100" s="3" t="s">
        <v>766</v>
      </c>
      <c r="H100" s="3" t="s">
        <v>762</v>
      </c>
      <c r="I100" s="3" t="s">
        <v>10</v>
      </c>
      <c r="J100" s="3" t="s">
        <v>10</v>
      </c>
      <c r="K100" s="6" t="s">
        <v>1388</v>
      </c>
      <c r="L100" s="1"/>
    </row>
    <row r="101" spans="1:12" ht="29" x14ac:dyDescent="0.35">
      <c r="A101" s="3" t="s">
        <v>97</v>
      </c>
      <c r="B101" s="3" t="s">
        <v>85</v>
      </c>
      <c r="C101" s="3" t="s">
        <v>760</v>
      </c>
      <c r="D101" s="3" t="s">
        <v>757</v>
      </c>
      <c r="E101" s="3" t="s">
        <v>900</v>
      </c>
      <c r="F101" s="3" t="s">
        <v>769</v>
      </c>
      <c r="G101" s="3" t="s">
        <v>762</v>
      </c>
      <c r="H101" s="3" t="s">
        <v>783</v>
      </c>
      <c r="I101" s="3" t="s">
        <v>10</v>
      </c>
      <c r="J101" s="3" t="s">
        <v>10</v>
      </c>
      <c r="K101" s="3" t="s">
        <v>1440</v>
      </c>
      <c r="L101" s="1"/>
    </row>
    <row r="102" spans="1:12" ht="73" customHeight="1" x14ac:dyDescent="0.35">
      <c r="A102" s="3" t="s">
        <v>97</v>
      </c>
      <c r="B102" s="3" t="s">
        <v>85</v>
      </c>
      <c r="C102" s="3" t="s">
        <v>760</v>
      </c>
      <c r="D102" s="3" t="s">
        <v>776</v>
      </c>
      <c r="E102" s="3" t="s">
        <v>901</v>
      </c>
      <c r="F102" s="3" t="s">
        <v>762</v>
      </c>
      <c r="G102" s="3" t="s">
        <v>783</v>
      </c>
      <c r="H102" s="3" t="s">
        <v>769</v>
      </c>
      <c r="I102" s="3" t="s">
        <v>10</v>
      </c>
      <c r="J102" s="3" t="s">
        <v>10</v>
      </c>
      <c r="K102" s="3" t="s">
        <v>1440</v>
      </c>
      <c r="L102" s="1"/>
    </row>
    <row r="103" spans="1:12" ht="58" x14ac:dyDescent="0.35">
      <c r="A103" s="3" t="s">
        <v>97</v>
      </c>
      <c r="B103" s="3" t="s">
        <v>85</v>
      </c>
      <c r="C103" s="3" t="s">
        <v>760</v>
      </c>
      <c r="D103" s="3" t="s">
        <v>779</v>
      </c>
      <c r="E103" s="3" t="s">
        <v>902</v>
      </c>
      <c r="F103" s="3" t="s">
        <v>783</v>
      </c>
      <c r="G103" s="3" t="s">
        <v>766</v>
      </c>
      <c r="H103" s="3" t="s">
        <v>769</v>
      </c>
      <c r="I103" s="3" t="s">
        <v>10</v>
      </c>
      <c r="J103" s="3" t="s">
        <v>10</v>
      </c>
      <c r="K103" s="3" t="s">
        <v>1440</v>
      </c>
      <c r="L103" s="1"/>
    </row>
    <row r="104" spans="1:12" ht="43.5" x14ac:dyDescent="0.35">
      <c r="A104" s="3" t="s">
        <v>97</v>
      </c>
      <c r="B104" s="3" t="s">
        <v>85</v>
      </c>
      <c r="C104" s="3" t="s">
        <v>760</v>
      </c>
      <c r="D104" s="3" t="s">
        <v>781</v>
      </c>
      <c r="E104" s="3" t="s">
        <v>903</v>
      </c>
      <c r="F104" s="3" t="s">
        <v>762</v>
      </c>
      <c r="G104" s="3" t="s">
        <v>10</v>
      </c>
      <c r="H104" s="3" t="s">
        <v>10</v>
      </c>
      <c r="I104" s="3" t="s">
        <v>10</v>
      </c>
      <c r="J104" s="3" t="s">
        <v>10</v>
      </c>
      <c r="K104" s="3" t="s">
        <v>1441</v>
      </c>
      <c r="L104" s="1"/>
    </row>
    <row r="105" spans="1:12" ht="29" x14ac:dyDescent="0.35">
      <c r="A105" s="3" t="s">
        <v>97</v>
      </c>
      <c r="B105" s="3" t="s">
        <v>85</v>
      </c>
      <c r="C105" s="3" t="s">
        <v>760</v>
      </c>
      <c r="D105" s="3" t="s">
        <v>784</v>
      </c>
      <c r="E105" s="3" t="s">
        <v>904</v>
      </c>
      <c r="F105" s="3" t="s">
        <v>762</v>
      </c>
      <c r="G105" s="3" t="s">
        <v>10</v>
      </c>
      <c r="H105" s="3" t="s">
        <v>10</v>
      </c>
      <c r="I105" s="3" t="s">
        <v>10</v>
      </c>
      <c r="J105" s="3" t="s">
        <v>10</v>
      </c>
      <c r="K105" s="3" t="s">
        <v>1441</v>
      </c>
      <c r="L105" s="1"/>
    </row>
    <row r="106" spans="1:12" ht="29" x14ac:dyDescent="0.35">
      <c r="A106" s="3" t="s">
        <v>97</v>
      </c>
      <c r="B106" s="3" t="s">
        <v>85</v>
      </c>
      <c r="C106" s="3" t="s">
        <v>760</v>
      </c>
      <c r="D106" s="3" t="s">
        <v>825</v>
      </c>
      <c r="E106" s="3" t="s">
        <v>905</v>
      </c>
      <c r="F106" s="3" t="s">
        <v>783</v>
      </c>
      <c r="G106" s="3" t="s">
        <v>10</v>
      </c>
      <c r="H106" s="3" t="s">
        <v>10</v>
      </c>
      <c r="I106" s="3" t="s">
        <v>10</v>
      </c>
      <c r="J106" s="3" t="s">
        <v>10</v>
      </c>
      <c r="K106" s="3" t="s">
        <v>1442</v>
      </c>
      <c r="L106" s="1"/>
    </row>
    <row r="107" spans="1:12" ht="43.5" x14ac:dyDescent="0.35">
      <c r="A107" s="3" t="s">
        <v>97</v>
      </c>
      <c r="B107" s="3" t="s">
        <v>85</v>
      </c>
      <c r="C107" s="3" t="s">
        <v>760</v>
      </c>
      <c r="D107" s="3" t="s">
        <v>827</v>
      </c>
      <c r="E107" s="3" t="s">
        <v>906</v>
      </c>
      <c r="F107" s="3" t="s">
        <v>783</v>
      </c>
      <c r="G107" s="3" t="s">
        <v>762</v>
      </c>
      <c r="H107" s="3" t="s">
        <v>10</v>
      </c>
      <c r="I107" s="3" t="s">
        <v>10</v>
      </c>
      <c r="J107" s="3" t="s">
        <v>10</v>
      </c>
      <c r="K107" s="3" t="s">
        <v>1442</v>
      </c>
      <c r="L107" s="1"/>
    </row>
    <row r="108" spans="1:12" ht="29" x14ac:dyDescent="0.35">
      <c r="A108" s="3" t="s">
        <v>97</v>
      </c>
      <c r="B108" s="3" t="s">
        <v>85</v>
      </c>
      <c r="C108" s="3" t="s">
        <v>760</v>
      </c>
      <c r="D108" s="3" t="s">
        <v>829</v>
      </c>
      <c r="E108" s="3" t="s">
        <v>907</v>
      </c>
      <c r="F108" s="3" t="s">
        <v>783</v>
      </c>
      <c r="G108" s="3" t="s">
        <v>762</v>
      </c>
      <c r="H108" s="3" t="s">
        <v>10</v>
      </c>
      <c r="I108" s="3" t="s">
        <v>10</v>
      </c>
      <c r="J108" s="3" t="s">
        <v>10</v>
      </c>
      <c r="K108" s="3" t="s">
        <v>1441</v>
      </c>
      <c r="L108" s="1"/>
    </row>
    <row r="109" spans="1:12" ht="29" x14ac:dyDescent="0.35">
      <c r="A109" s="3" t="s">
        <v>97</v>
      </c>
      <c r="B109" s="3" t="s">
        <v>85</v>
      </c>
      <c r="C109" s="3" t="s">
        <v>760</v>
      </c>
      <c r="D109" s="3" t="s">
        <v>831</v>
      </c>
      <c r="E109" s="3" t="s">
        <v>908</v>
      </c>
      <c r="F109" s="3" t="s">
        <v>783</v>
      </c>
      <c r="G109" s="3" t="s">
        <v>762</v>
      </c>
      <c r="H109" s="3" t="s">
        <v>766</v>
      </c>
      <c r="I109" s="3" t="s">
        <v>10</v>
      </c>
      <c r="J109" s="3" t="s">
        <v>10</v>
      </c>
      <c r="K109" s="6" t="s">
        <v>1388</v>
      </c>
      <c r="L109" s="1"/>
    </row>
    <row r="110" spans="1:12" ht="43.5" x14ac:dyDescent="0.35">
      <c r="A110" s="3" t="s">
        <v>97</v>
      </c>
      <c r="B110" s="3" t="s">
        <v>85</v>
      </c>
      <c r="C110" s="3" t="s">
        <v>760</v>
      </c>
      <c r="D110" s="3" t="s">
        <v>833</v>
      </c>
      <c r="E110" s="3" t="s">
        <v>909</v>
      </c>
      <c r="F110" s="3" t="s">
        <v>769</v>
      </c>
      <c r="G110" s="3" t="s">
        <v>766</v>
      </c>
      <c r="H110" s="3" t="s">
        <v>10</v>
      </c>
      <c r="I110" s="3" t="s">
        <v>10</v>
      </c>
      <c r="J110" s="3" t="s">
        <v>10</v>
      </c>
      <c r="K110" s="3" t="s">
        <v>1440</v>
      </c>
      <c r="L110" s="1"/>
    </row>
    <row r="111" spans="1:12" ht="58" x14ac:dyDescent="0.35">
      <c r="A111" s="3" t="s">
        <v>97</v>
      </c>
      <c r="B111" s="3" t="s">
        <v>85</v>
      </c>
      <c r="C111" s="3" t="s">
        <v>760</v>
      </c>
      <c r="D111" s="3" t="s">
        <v>835</v>
      </c>
      <c r="E111" s="3" t="s">
        <v>910</v>
      </c>
      <c r="F111" s="3" t="s">
        <v>783</v>
      </c>
      <c r="G111" s="3" t="s">
        <v>766</v>
      </c>
      <c r="H111" s="3" t="s">
        <v>10</v>
      </c>
      <c r="I111" s="3" t="s">
        <v>10</v>
      </c>
      <c r="J111" s="3" t="s">
        <v>10</v>
      </c>
      <c r="K111" s="6" t="s">
        <v>1388</v>
      </c>
      <c r="L111" s="1"/>
    </row>
    <row r="112" spans="1:12" ht="43.5" x14ac:dyDescent="0.35">
      <c r="A112" s="3" t="s">
        <v>100</v>
      </c>
      <c r="B112" s="3" t="s">
        <v>12</v>
      </c>
      <c r="C112" s="3" t="s">
        <v>818</v>
      </c>
      <c r="D112" s="3" t="s">
        <v>751</v>
      </c>
      <c r="E112" s="3" t="s">
        <v>911</v>
      </c>
      <c r="F112" s="3" t="s">
        <v>770</v>
      </c>
      <c r="G112" s="3" t="s">
        <v>10</v>
      </c>
      <c r="H112" s="3" t="s">
        <v>10</v>
      </c>
      <c r="I112" s="3" t="s">
        <v>10</v>
      </c>
      <c r="J112" s="3" t="s">
        <v>10</v>
      </c>
      <c r="K112" s="3" t="s">
        <v>1398</v>
      </c>
      <c r="L112" s="1"/>
    </row>
    <row r="113" spans="1:12" ht="43.5" x14ac:dyDescent="0.35">
      <c r="A113" s="3" t="s">
        <v>100</v>
      </c>
      <c r="B113" s="3" t="s">
        <v>12</v>
      </c>
      <c r="C113" s="3" t="s">
        <v>818</v>
      </c>
      <c r="D113" s="3" t="s">
        <v>757</v>
      </c>
      <c r="E113" s="3" t="s">
        <v>912</v>
      </c>
      <c r="F113" s="3" t="s">
        <v>770</v>
      </c>
      <c r="G113" s="3" t="s">
        <v>789</v>
      </c>
      <c r="H113" s="3" t="s">
        <v>10</v>
      </c>
      <c r="I113" s="3" t="s">
        <v>10</v>
      </c>
      <c r="J113" s="3" t="s">
        <v>10</v>
      </c>
      <c r="K113" s="3" t="s">
        <v>1396</v>
      </c>
      <c r="L113" s="1"/>
    </row>
    <row r="114" spans="1:12" ht="58" x14ac:dyDescent="0.35">
      <c r="A114" s="3" t="s">
        <v>100</v>
      </c>
      <c r="B114" s="3" t="s">
        <v>12</v>
      </c>
      <c r="C114" s="3" t="s">
        <v>818</v>
      </c>
      <c r="D114" s="3" t="s">
        <v>776</v>
      </c>
      <c r="E114" s="3" t="s">
        <v>913</v>
      </c>
      <c r="F114" s="3" t="s">
        <v>770</v>
      </c>
      <c r="G114" s="3" t="s">
        <v>789</v>
      </c>
      <c r="H114" s="3" t="s">
        <v>764</v>
      </c>
      <c r="I114" s="3" t="s">
        <v>10</v>
      </c>
      <c r="J114" s="3" t="s">
        <v>10</v>
      </c>
      <c r="K114" s="3" t="s">
        <v>1398</v>
      </c>
      <c r="L114" s="1"/>
    </row>
    <row r="115" spans="1:12" ht="43.5" x14ac:dyDescent="0.35">
      <c r="A115" s="3" t="s">
        <v>100</v>
      </c>
      <c r="B115" s="3" t="s">
        <v>12</v>
      </c>
      <c r="C115" s="3" t="s">
        <v>818</v>
      </c>
      <c r="D115" s="3" t="s">
        <v>779</v>
      </c>
      <c r="E115" s="3" t="s">
        <v>914</v>
      </c>
      <c r="F115" s="3" t="s">
        <v>789</v>
      </c>
      <c r="G115" s="3" t="s">
        <v>10</v>
      </c>
      <c r="H115" s="3" t="s">
        <v>10</v>
      </c>
      <c r="I115" s="3" t="s">
        <v>10</v>
      </c>
      <c r="J115" s="3" t="s">
        <v>10</v>
      </c>
      <c r="K115" s="3" t="s">
        <v>1418</v>
      </c>
      <c r="L115" s="1"/>
    </row>
    <row r="116" spans="1:12" ht="43.5" x14ac:dyDescent="0.35">
      <c r="A116" s="3" t="s">
        <v>100</v>
      </c>
      <c r="B116" s="3" t="s">
        <v>12</v>
      </c>
      <c r="C116" s="3" t="s">
        <v>818</v>
      </c>
      <c r="D116" s="3" t="s">
        <v>781</v>
      </c>
      <c r="E116" s="3" t="s">
        <v>915</v>
      </c>
      <c r="F116" s="3" t="s">
        <v>764</v>
      </c>
      <c r="G116" s="3" t="s">
        <v>10</v>
      </c>
      <c r="H116" s="3" t="s">
        <v>10</v>
      </c>
      <c r="I116" s="3" t="s">
        <v>10</v>
      </c>
      <c r="J116" s="3" t="s">
        <v>10</v>
      </c>
      <c r="K116" s="3" t="s">
        <v>1443</v>
      </c>
      <c r="L116" s="1"/>
    </row>
    <row r="117" spans="1:12" ht="58" x14ac:dyDescent="0.35">
      <c r="A117" s="3" t="s">
        <v>100</v>
      </c>
      <c r="B117" s="3" t="s">
        <v>12</v>
      </c>
      <c r="C117" s="3" t="s">
        <v>818</v>
      </c>
      <c r="D117" s="3" t="s">
        <v>784</v>
      </c>
      <c r="E117" s="3" t="s">
        <v>916</v>
      </c>
      <c r="F117" s="3" t="s">
        <v>767</v>
      </c>
      <c r="G117" s="3" t="s">
        <v>764</v>
      </c>
      <c r="H117" s="3" t="s">
        <v>759</v>
      </c>
      <c r="I117" s="3" t="s">
        <v>10</v>
      </c>
      <c r="J117" s="3" t="s">
        <v>10</v>
      </c>
      <c r="K117" s="3" t="s">
        <v>1444</v>
      </c>
      <c r="L117" s="1"/>
    </row>
    <row r="118" spans="1:12" ht="130.5" x14ac:dyDescent="0.35">
      <c r="A118" s="3" t="s">
        <v>100</v>
      </c>
      <c r="B118" s="3" t="s">
        <v>12</v>
      </c>
      <c r="C118" s="3" t="s">
        <v>818</v>
      </c>
      <c r="D118" s="3" t="s">
        <v>825</v>
      </c>
      <c r="E118" s="3" t="s">
        <v>917</v>
      </c>
      <c r="F118" s="3" t="s">
        <v>772</v>
      </c>
      <c r="G118" s="3" t="s">
        <v>756</v>
      </c>
      <c r="H118" s="3" t="s">
        <v>10</v>
      </c>
      <c r="I118" s="3" t="s">
        <v>10</v>
      </c>
      <c r="J118" s="3" t="s">
        <v>10</v>
      </c>
      <c r="K118" s="3" t="s">
        <v>1445</v>
      </c>
      <c r="L118" s="1"/>
    </row>
    <row r="119" spans="1:12" ht="58" x14ac:dyDescent="0.35">
      <c r="A119" s="3" t="s">
        <v>100</v>
      </c>
      <c r="B119" s="3" t="s">
        <v>12</v>
      </c>
      <c r="C119" s="3" t="s">
        <v>818</v>
      </c>
      <c r="D119" s="3" t="s">
        <v>827</v>
      </c>
      <c r="E119" s="3" t="s">
        <v>918</v>
      </c>
      <c r="F119" s="3" t="s">
        <v>789</v>
      </c>
      <c r="G119" s="3" t="s">
        <v>770</v>
      </c>
      <c r="H119" s="3" t="s">
        <v>10</v>
      </c>
      <c r="I119" s="3" t="s">
        <v>10</v>
      </c>
      <c r="J119" s="3" t="s">
        <v>10</v>
      </c>
      <c r="K119" s="3" t="s">
        <v>1446</v>
      </c>
      <c r="L119" s="1"/>
    </row>
    <row r="120" spans="1:12" ht="58" x14ac:dyDescent="0.35">
      <c r="A120" s="3" t="s">
        <v>100</v>
      </c>
      <c r="B120" s="3" t="s">
        <v>12</v>
      </c>
      <c r="C120" s="3" t="s">
        <v>818</v>
      </c>
      <c r="D120" s="3" t="s">
        <v>829</v>
      </c>
      <c r="E120" s="3" t="s">
        <v>919</v>
      </c>
      <c r="F120" s="3" t="s">
        <v>789</v>
      </c>
      <c r="G120" s="3" t="s">
        <v>770</v>
      </c>
      <c r="H120" s="3" t="s">
        <v>10</v>
      </c>
      <c r="I120" s="3" t="s">
        <v>10</v>
      </c>
      <c r="J120" s="3" t="s">
        <v>10</v>
      </c>
      <c r="K120" s="3" t="s">
        <v>1398</v>
      </c>
      <c r="L120" s="1"/>
    </row>
    <row r="121" spans="1:12" ht="58" x14ac:dyDescent="0.35">
      <c r="A121" s="3" t="s">
        <v>100</v>
      </c>
      <c r="B121" s="3" t="s">
        <v>12</v>
      </c>
      <c r="C121" s="3" t="s">
        <v>818</v>
      </c>
      <c r="D121" s="3" t="s">
        <v>831</v>
      </c>
      <c r="E121" s="3" t="s">
        <v>920</v>
      </c>
      <c r="F121" s="3" t="s">
        <v>764</v>
      </c>
      <c r="G121" s="3" t="s">
        <v>759</v>
      </c>
      <c r="H121" s="3" t="s">
        <v>10</v>
      </c>
      <c r="I121" s="3" t="s">
        <v>10</v>
      </c>
      <c r="J121" s="3" t="s">
        <v>10</v>
      </c>
      <c r="K121" s="3" t="s">
        <v>1443</v>
      </c>
      <c r="L121" s="1"/>
    </row>
    <row r="122" spans="1:12" ht="43.5" x14ac:dyDescent="0.35">
      <c r="A122" s="3" t="s">
        <v>100</v>
      </c>
      <c r="B122" s="3" t="s">
        <v>12</v>
      </c>
      <c r="C122" s="3" t="s">
        <v>818</v>
      </c>
      <c r="D122" s="3" t="s">
        <v>833</v>
      </c>
      <c r="E122" s="3" t="s">
        <v>921</v>
      </c>
      <c r="F122" s="3" t="s">
        <v>764</v>
      </c>
      <c r="G122" s="3" t="s">
        <v>769</v>
      </c>
      <c r="H122" s="3" t="s">
        <v>10</v>
      </c>
      <c r="I122" s="3" t="s">
        <v>10</v>
      </c>
      <c r="J122" s="3" t="s">
        <v>10</v>
      </c>
      <c r="K122" s="3" t="s">
        <v>1447</v>
      </c>
      <c r="L122" s="1"/>
    </row>
    <row r="123" spans="1:12" ht="58" x14ac:dyDescent="0.35">
      <c r="A123" s="3" t="s">
        <v>100</v>
      </c>
      <c r="B123" s="3" t="s">
        <v>12</v>
      </c>
      <c r="C123" s="3" t="s">
        <v>818</v>
      </c>
      <c r="D123" s="3" t="s">
        <v>835</v>
      </c>
      <c r="E123" s="3" t="s">
        <v>922</v>
      </c>
      <c r="F123" s="3" t="s">
        <v>770</v>
      </c>
      <c r="G123" s="3" t="s">
        <v>789</v>
      </c>
      <c r="H123" s="3" t="s">
        <v>10</v>
      </c>
      <c r="I123" s="3" t="s">
        <v>10</v>
      </c>
      <c r="J123" s="3" t="s">
        <v>10</v>
      </c>
      <c r="K123" s="3" t="s">
        <v>1398</v>
      </c>
      <c r="L123" s="1"/>
    </row>
    <row r="124" spans="1:12" ht="29" x14ac:dyDescent="0.35">
      <c r="A124" s="3" t="s">
        <v>102</v>
      </c>
      <c r="B124" s="3" t="s">
        <v>12</v>
      </c>
      <c r="C124" s="3" t="s">
        <v>881</v>
      </c>
      <c r="D124" s="3" t="s">
        <v>751</v>
      </c>
      <c r="E124" s="3" t="s">
        <v>923</v>
      </c>
      <c r="F124" s="3" t="s">
        <v>783</v>
      </c>
      <c r="G124" s="3" t="s">
        <v>10</v>
      </c>
      <c r="H124" s="3" t="s">
        <v>10</v>
      </c>
      <c r="I124" s="3" t="s">
        <v>10</v>
      </c>
      <c r="J124" s="3" t="s">
        <v>10</v>
      </c>
      <c r="K124" s="3" t="s">
        <v>1448</v>
      </c>
      <c r="L124" s="1"/>
    </row>
    <row r="125" spans="1:12" ht="29" x14ac:dyDescent="0.35">
      <c r="A125" s="3" t="s">
        <v>102</v>
      </c>
      <c r="B125" s="3" t="s">
        <v>12</v>
      </c>
      <c r="C125" s="3" t="s">
        <v>881</v>
      </c>
      <c r="D125" s="3" t="s">
        <v>757</v>
      </c>
      <c r="E125" s="3" t="s">
        <v>924</v>
      </c>
      <c r="F125" s="3" t="s">
        <v>783</v>
      </c>
      <c r="G125" s="3" t="s">
        <v>10</v>
      </c>
      <c r="H125" s="3" t="s">
        <v>10</v>
      </c>
      <c r="I125" s="3" t="s">
        <v>10</v>
      </c>
      <c r="J125" s="3" t="s">
        <v>10</v>
      </c>
      <c r="K125" s="3" t="s">
        <v>1449</v>
      </c>
      <c r="L125" s="1"/>
    </row>
    <row r="126" spans="1:12" ht="43.5" x14ac:dyDescent="0.35">
      <c r="A126" s="3" t="s">
        <v>102</v>
      </c>
      <c r="B126" s="3" t="s">
        <v>12</v>
      </c>
      <c r="C126" s="3" t="s">
        <v>881</v>
      </c>
      <c r="D126" s="3" t="s">
        <v>776</v>
      </c>
      <c r="E126" s="3" t="s">
        <v>925</v>
      </c>
      <c r="F126" s="3" t="s">
        <v>762</v>
      </c>
      <c r="G126" s="3" t="s">
        <v>783</v>
      </c>
      <c r="H126" s="3" t="s">
        <v>10</v>
      </c>
      <c r="I126" s="3" t="s">
        <v>10</v>
      </c>
      <c r="J126" s="3" t="s">
        <v>10</v>
      </c>
      <c r="K126" s="3" t="s">
        <v>1450</v>
      </c>
      <c r="L126" s="1"/>
    </row>
    <row r="127" spans="1:12" ht="29" x14ac:dyDescent="0.35">
      <c r="A127" s="3" t="s">
        <v>102</v>
      </c>
      <c r="B127" s="3" t="s">
        <v>12</v>
      </c>
      <c r="C127" s="3" t="s">
        <v>881</v>
      </c>
      <c r="D127" s="3" t="s">
        <v>779</v>
      </c>
      <c r="E127" s="3" t="s">
        <v>926</v>
      </c>
      <c r="F127" s="3" t="s">
        <v>783</v>
      </c>
      <c r="G127" s="3" t="s">
        <v>10</v>
      </c>
      <c r="H127" s="3" t="s">
        <v>10</v>
      </c>
      <c r="I127" s="3" t="s">
        <v>10</v>
      </c>
      <c r="J127" s="3" t="s">
        <v>10</v>
      </c>
      <c r="K127" s="3" t="s">
        <v>1451</v>
      </c>
      <c r="L127" s="1"/>
    </row>
    <row r="128" spans="1:12" ht="29" x14ac:dyDescent="0.35">
      <c r="A128" s="3" t="s">
        <v>102</v>
      </c>
      <c r="B128" s="3" t="s">
        <v>12</v>
      </c>
      <c r="C128" s="3" t="s">
        <v>881</v>
      </c>
      <c r="D128" s="3" t="s">
        <v>781</v>
      </c>
      <c r="E128" s="3" t="s">
        <v>927</v>
      </c>
      <c r="F128" s="3" t="s">
        <v>770</v>
      </c>
      <c r="G128" s="3" t="s">
        <v>762</v>
      </c>
      <c r="H128" s="3" t="s">
        <v>10</v>
      </c>
      <c r="I128" s="3" t="s">
        <v>10</v>
      </c>
      <c r="J128" s="3" t="s">
        <v>10</v>
      </c>
      <c r="K128" s="6" t="s">
        <v>1388</v>
      </c>
      <c r="L128" s="1"/>
    </row>
    <row r="129" spans="1:12" ht="43.5" x14ac:dyDescent="0.35">
      <c r="A129" s="3" t="s">
        <v>102</v>
      </c>
      <c r="B129" s="3" t="s">
        <v>12</v>
      </c>
      <c r="C129" s="3" t="s">
        <v>881</v>
      </c>
      <c r="D129" s="3" t="s">
        <v>784</v>
      </c>
      <c r="E129" s="3" t="s">
        <v>928</v>
      </c>
      <c r="F129" s="3" t="s">
        <v>766</v>
      </c>
      <c r="G129" s="3" t="s">
        <v>783</v>
      </c>
      <c r="H129" s="3" t="s">
        <v>10</v>
      </c>
      <c r="I129" s="3" t="s">
        <v>10</v>
      </c>
      <c r="J129" s="3" t="s">
        <v>10</v>
      </c>
      <c r="K129" s="3" t="s">
        <v>1452</v>
      </c>
      <c r="L129" s="1"/>
    </row>
    <row r="130" spans="1:12" ht="43.5" x14ac:dyDescent="0.35">
      <c r="A130" s="3" t="s">
        <v>102</v>
      </c>
      <c r="B130" s="3" t="s">
        <v>12</v>
      </c>
      <c r="C130" s="3" t="s">
        <v>881</v>
      </c>
      <c r="D130" s="3" t="s">
        <v>825</v>
      </c>
      <c r="E130" s="3" t="s">
        <v>929</v>
      </c>
      <c r="F130" s="3" t="s">
        <v>783</v>
      </c>
      <c r="G130" s="3" t="s">
        <v>10</v>
      </c>
      <c r="H130" s="3" t="s">
        <v>10</v>
      </c>
      <c r="I130" s="3" t="s">
        <v>10</v>
      </c>
      <c r="J130" s="3" t="s">
        <v>10</v>
      </c>
      <c r="K130" s="3" t="s">
        <v>1451</v>
      </c>
      <c r="L130" s="1"/>
    </row>
    <row r="131" spans="1:12" ht="43.5" x14ac:dyDescent="0.35">
      <c r="A131" s="3" t="s">
        <v>102</v>
      </c>
      <c r="B131" s="3" t="s">
        <v>12</v>
      </c>
      <c r="C131" s="3" t="s">
        <v>881</v>
      </c>
      <c r="D131" s="3" t="s">
        <v>827</v>
      </c>
      <c r="E131" s="3" t="s">
        <v>930</v>
      </c>
      <c r="F131" s="3" t="s">
        <v>783</v>
      </c>
      <c r="G131" s="3" t="s">
        <v>10</v>
      </c>
      <c r="H131" s="3" t="s">
        <v>10</v>
      </c>
      <c r="I131" s="3" t="s">
        <v>10</v>
      </c>
      <c r="J131" s="3" t="s">
        <v>10</v>
      </c>
      <c r="K131" s="3" t="s">
        <v>1453</v>
      </c>
      <c r="L131" s="1"/>
    </row>
    <row r="132" spans="1:12" ht="43.5" x14ac:dyDescent="0.35">
      <c r="A132" s="3" t="s">
        <v>102</v>
      </c>
      <c r="B132" s="3" t="s">
        <v>12</v>
      </c>
      <c r="C132" s="3" t="s">
        <v>881</v>
      </c>
      <c r="D132" s="3" t="s">
        <v>829</v>
      </c>
      <c r="E132" s="3" t="s">
        <v>931</v>
      </c>
      <c r="F132" s="3" t="s">
        <v>767</v>
      </c>
      <c r="G132" s="3" t="s">
        <v>766</v>
      </c>
      <c r="H132" s="3" t="s">
        <v>10</v>
      </c>
      <c r="I132" s="3" t="s">
        <v>10</v>
      </c>
      <c r="J132" s="3" t="s">
        <v>10</v>
      </c>
      <c r="K132" s="3" t="s">
        <v>1454</v>
      </c>
      <c r="L132" s="1"/>
    </row>
    <row r="133" spans="1:12" ht="37.5" customHeight="1" x14ac:dyDescent="0.35">
      <c r="A133" s="3" t="s">
        <v>102</v>
      </c>
      <c r="B133" s="3" t="s">
        <v>12</v>
      </c>
      <c r="C133" s="3" t="s">
        <v>881</v>
      </c>
      <c r="D133" s="3" t="s">
        <v>831</v>
      </c>
      <c r="E133" s="3" t="s">
        <v>932</v>
      </c>
      <c r="F133" s="3" t="s">
        <v>756</v>
      </c>
      <c r="G133" s="3" t="s">
        <v>759</v>
      </c>
      <c r="H133" s="3" t="s">
        <v>10</v>
      </c>
      <c r="I133" s="3" t="s">
        <v>10</v>
      </c>
      <c r="J133" s="3" t="s">
        <v>10</v>
      </c>
      <c r="K133" s="3" t="s">
        <v>1455</v>
      </c>
      <c r="L133" s="1"/>
    </row>
    <row r="134" spans="1:12" ht="46.5" customHeight="1" x14ac:dyDescent="0.35">
      <c r="A134" s="3" t="s">
        <v>102</v>
      </c>
      <c r="B134" s="3" t="s">
        <v>12</v>
      </c>
      <c r="C134" s="3" t="s">
        <v>881</v>
      </c>
      <c r="D134" s="3" t="s">
        <v>833</v>
      </c>
      <c r="E134" s="3" t="s">
        <v>933</v>
      </c>
      <c r="F134" s="3" t="s">
        <v>772</v>
      </c>
      <c r="G134" s="3" t="s">
        <v>770</v>
      </c>
      <c r="H134" s="3" t="s">
        <v>10</v>
      </c>
      <c r="I134" s="3" t="s">
        <v>10</v>
      </c>
      <c r="J134" s="3" t="s">
        <v>10</v>
      </c>
      <c r="K134" s="3" t="s">
        <v>1417</v>
      </c>
      <c r="L134" s="1"/>
    </row>
    <row r="135" spans="1:12" ht="58" x14ac:dyDescent="0.35">
      <c r="A135" s="3" t="s">
        <v>102</v>
      </c>
      <c r="B135" s="3" t="s">
        <v>12</v>
      </c>
      <c r="C135" s="3" t="s">
        <v>881</v>
      </c>
      <c r="D135" s="3" t="s">
        <v>835</v>
      </c>
      <c r="E135" s="3" t="s">
        <v>934</v>
      </c>
      <c r="F135" s="3" t="s">
        <v>772</v>
      </c>
      <c r="G135" s="3" t="s">
        <v>770</v>
      </c>
      <c r="H135" s="3" t="s">
        <v>10</v>
      </c>
      <c r="I135" s="3" t="s">
        <v>10</v>
      </c>
      <c r="J135" s="3" t="s">
        <v>10</v>
      </c>
      <c r="K135" s="3" t="s">
        <v>1456</v>
      </c>
      <c r="L135" s="1"/>
    </row>
    <row r="136" spans="1:12" ht="29" x14ac:dyDescent="0.35">
      <c r="A136" s="3" t="s">
        <v>102</v>
      </c>
      <c r="B136" s="3" t="s">
        <v>12</v>
      </c>
      <c r="C136" s="3" t="s">
        <v>881</v>
      </c>
      <c r="D136" s="3" t="s">
        <v>837</v>
      </c>
      <c r="E136" s="3" t="s">
        <v>935</v>
      </c>
      <c r="F136" s="3" t="s">
        <v>767</v>
      </c>
      <c r="G136" s="3" t="s">
        <v>10</v>
      </c>
      <c r="H136" s="3" t="s">
        <v>10</v>
      </c>
      <c r="I136" s="3" t="s">
        <v>10</v>
      </c>
      <c r="J136" s="3" t="s">
        <v>10</v>
      </c>
      <c r="K136" s="3" t="s">
        <v>1394</v>
      </c>
      <c r="L136" s="1"/>
    </row>
    <row r="137" spans="1:12" ht="43.5" x14ac:dyDescent="0.35">
      <c r="A137" s="3" t="s">
        <v>102</v>
      </c>
      <c r="B137" s="3" t="s">
        <v>12</v>
      </c>
      <c r="C137" s="3" t="s">
        <v>881</v>
      </c>
      <c r="D137" s="3" t="s">
        <v>839</v>
      </c>
      <c r="E137" s="3" t="s">
        <v>936</v>
      </c>
      <c r="F137" s="3" t="s">
        <v>770</v>
      </c>
      <c r="G137" s="3" t="s">
        <v>789</v>
      </c>
      <c r="H137" s="3" t="s">
        <v>10</v>
      </c>
      <c r="I137" s="3" t="s">
        <v>10</v>
      </c>
      <c r="J137" s="3" t="s">
        <v>10</v>
      </c>
      <c r="K137" s="3" t="s">
        <v>1394</v>
      </c>
      <c r="L137" s="1"/>
    </row>
    <row r="138" spans="1:12" x14ac:dyDescent="0.35">
      <c r="A138" s="3" t="s">
        <v>102</v>
      </c>
      <c r="B138" s="3" t="s">
        <v>12</v>
      </c>
      <c r="C138" s="3" t="s">
        <v>881</v>
      </c>
      <c r="D138" s="3" t="s">
        <v>841</v>
      </c>
      <c r="E138" s="3" t="s">
        <v>937</v>
      </c>
      <c r="F138" s="3" t="s">
        <v>770</v>
      </c>
      <c r="G138" s="3" t="s">
        <v>762</v>
      </c>
      <c r="H138" s="3" t="s">
        <v>10</v>
      </c>
      <c r="I138" s="3" t="s">
        <v>10</v>
      </c>
      <c r="J138" s="3" t="s">
        <v>10</v>
      </c>
      <c r="K138" s="6" t="s">
        <v>1388</v>
      </c>
      <c r="L138" s="1"/>
    </row>
    <row r="139" spans="1:12" ht="43.5" x14ac:dyDescent="0.35">
      <c r="A139" s="3" t="s">
        <v>102</v>
      </c>
      <c r="B139" s="3" t="s">
        <v>12</v>
      </c>
      <c r="C139" s="3" t="s">
        <v>881</v>
      </c>
      <c r="D139" s="3" t="s">
        <v>843</v>
      </c>
      <c r="E139" s="3" t="s">
        <v>938</v>
      </c>
      <c r="F139" s="3" t="s">
        <v>767</v>
      </c>
      <c r="G139" s="3" t="s">
        <v>766</v>
      </c>
      <c r="H139" s="3" t="s">
        <v>10</v>
      </c>
      <c r="I139" s="3" t="s">
        <v>10</v>
      </c>
      <c r="J139" s="3" t="s">
        <v>10</v>
      </c>
      <c r="K139" s="3" t="s">
        <v>1457</v>
      </c>
      <c r="L139" s="1"/>
    </row>
    <row r="140" spans="1:12" ht="43.5" x14ac:dyDescent="0.35">
      <c r="A140" s="3" t="s">
        <v>102</v>
      </c>
      <c r="B140" s="3" t="s">
        <v>12</v>
      </c>
      <c r="C140" s="3" t="s">
        <v>881</v>
      </c>
      <c r="D140" s="3" t="s">
        <v>845</v>
      </c>
      <c r="E140" s="3" t="s">
        <v>939</v>
      </c>
      <c r="F140" s="3" t="s">
        <v>766</v>
      </c>
      <c r="G140" s="3" t="s">
        <v>10</v>
      </c>
      <c r="H140" s="3" t="s">
        <v>10</v>
      </c>
      <c r="I140" s="3" t="s">
        <v>10</v>
      </c>
      <c r="J140" s="3" t="s">
        <v>10</v>
      </c>
      <c r="K140" s="3" t="s">
        <v>1458</v>
      </c>
      <c r="L140" s="1"/>
    </row>
    <row r="141" spans="1:12" ht="43.5" x14ac:dyDescent="0.35">
      <c r="A141" s="3" t="s">
        <v>102</v>
      </c>
      <c r="B141" s="3" t="s">
        <v>12</v>
      </c>
      <c r="C141" s="3" t="s">
        <v>881</v>
      </c>
      <c r="D141" s="3" t="s">
        <v>847</v>
      </c>
      <c r="E141" s="3" t="s">
        <v>940</v>
      </c>
      <c r="F141" s="3" t="s">
        <v>766</v>
      </c>
      <c r="G141" s="3" t="s">
        <v>10</v>
      </c>
      <c r="H141" s="3" t="s">
        <v>10</v>
      </c>
      <c r="I141" s="3" t="s">
        <v>10</v>
      </c>
      <c r="J141" s="3" t="s">
        <v>10</v>
      </c>
      <c r="K141" s="6" t="s">
        <v>1388</v>
      </c>
      <c r="L141" s="1"/>
    </row>
    <row r="142" spans="1:12" ht="43.5" x14ac:dyDescent="0.35">
      <c r="A142" s="3" t="s">
        <v>102</v>
      </c>
      <c r="B142" s="3" t="s">
        <v>12</v>
      </c>
      <c r="C142" s="3" t="s">
        <v>881</v>
      </c>
      <c r="D142" s="3" t="s">
        <v>849</v>
      </c>
      <c r="E142" s="3" t="s">
        <v>941</v>
      </c>
      <c r="F142" s="3" t="s">
        <v>789</v>
      </c>
      <c r="G142" s="3" t="s">
        <v>767</v>
      </c>
      <c r="H142" s="3" t="s">
        <v>10</v>
      </c>
      <c r="I142" s="3" t="s">
        <v>10</v>
      </c>
      <c r="J142" s="3" t="s">
        <v>10</v>
      </c>
      <c r="K142" s="3" t="s">
        <v>1459</v>
      </c>
      <c r="L142" s="1"/>
    </row>
    <row r="143" spans="1:12" ht="87" x14ac:dyDescent="0.35">
      <c r="A143" s="3" t="s">
        <v>102</v>
      </c>
      <c r="B143" s="3" t="s">
        <v>12</v>
      </c>
      <c r="C143" s="3" t="s">
        <v>881</v>
      </c>
      <c r="D143" s="3" t="s">
        <v>851</v>
      </c>
      <c r="E143" s="3" t="s">
        <v>942</v>
      </c>
      <c r="F143" s="3" t="s">
        <v>766</v>
      </c>
      <c r="G143" s="3" t="s">
        <v>783</v>
      </c>
      <c r="H143" s="3" t="s">
        <v>778</v>
      </c>
      <c r="I143" s="3" t="s">
        <v>10</v>
      </c>
      <c r="J143" s="3" t="s">
        <v>10</v>
      </c>
      <c r="K143" s="3" t="s">
        <v>1440</v>
      </c>
      <c r="L143" s="1"/>
    </row>
    <row r="144" spans="1:12" ht="43.5" x14ac:dyDescent="0.35">
      <c r="A144" s="3" t="s">
        <v>102</v>
      </c>
      <c r="B144" s="3" t="s">
        <v>12</v>
      </c>
      <c r="C144" s="3" t="s">
        <v>881</v>
      </c>
      <c r="D144" s="3" t="s">
        <v>853</v>
      </c>
      <c r="E144" s="3" t="s">
        <v>943</v>
      </c>
      <c r="F144" s="3" t="s">
        <v>762</v>
      </c>
      <c r="G144" s="3" t="s">
        <v>783</v>
      </c>
      <c r="H144" s="3" t="s">
        <v>10</v>
      </c>
      <c r="I144" s="3" t="s">
        <v>10</v>
      </c>
      <c r="J144" s="3" t="s">
        <v>10</v>
      </c>
      <c r="K144" s="3" t="s">
        <v>1440</v>
      </c>
      <c r="L144" s="1"/>
    </row>
    <row r="145" spans="1:12" ht="58" x14ac:dyDescent="0.35">
      <c r="A145" s="3" t="s">
        <v>102</v>
      </c>
      <c r="B145" s="3" t="s">
        <v>12</v>
      </c>
      <c r="C145" s="3" t="s">
        <v>881</v>
      </c>
      <c r="D145" s="3" t="s">
        <v>855</v>
      </c>
      <c r="E145" s="3" t="s">
        <v>944</v>
      </c>
      <c r="F145" s="3" t="s">
        <v>764</v>
      </c>
      <c r="G145" s="3" t="s">
        <v>766</v>
      </c>
      <c r="H145" s="3" t="s">
        <v>10</v>
      </c>
      <c r="I145" s="3" t="s">
        <v>10</v>
      </c>
      <c r="J145" s="3" t="s">
        <v>10</v>
      </c>
      <c r="K145" s="3" t="s">
        <v>1460</v>
      </c>
      <c r="L145" s="1"/>
    </row>
    <row r="146" spans="1:12" ht="58" x14ac:dyDescent="0.35">
      <c r="A146" s="3" t="s">
        <v>102</v>
      </c>
      <c r="B146" s="3" t="s">
        <v>12</v>
      </c>
      <c r="C146" s="3" t="s">
        <v>881</v>
      </c>
      <c r="D146" s="3" t="s">
        <v>857</v>
      </c>
      <c r="E146" s="3" t="s">
        <v>945</v>
      </c>
      <c r="F146" s="3" t="s">
        <v>770</v>
      </c>
      <c r="G146" s="3" t="s">
        <v>789</v>
      </c>
      <c r="H146" s="3" t="s">
        <v>10</v>
      </c>
      <c r="I146" s="3" t="s">
        <v>10</v>
      </c>
      <c r="J146" s="3" t="s">
        <v>10</v>
      </c>
      <c r="K146" s="3" t="s">
        <v>1418</v>
      </c>
      <c r="L146" s="1"/>
    </row>
    <row r="147" spans="1:12" ht="144.5" customHeight="1" x14ac:dyDescent="0.35">
      <c r="A147" s="3" t="s">
        <v>104</v>
      </c>
      <c r="B147" s="3" t="s">
        <v>12</v>
      </c>
      <c r="C147" s="3" t="s">
        <v>946</v>
      </c>
      <c r="D147" s="3" t="s">
        <v>751</v>
      </c>
      <c r="E147" s="3" t="s">
        <v>947</v>
      </c>
      <c r="F147" s="3" t="s">
        <v>767</v>
      </c>
      <c r="G147" s="3" t="s">
        <v>770</v>
      </c>
      <c r="H147" s="3" t="s">
        <v>772</v>
      </c>
      <c r="I147" s="3" t="s">
        <v>766</v>
      </c>
      <c r="J147" s="3" t="s">
        <v>10</v>
      </c>
      <c r="K147" s="3" t="s">
        <v>1461</v>
      </c>
      <c r="L147" s="1"/>
    </row>
    <row r="148" spans="1:12" ht="87" x14ac:dyDescent="0.35">
      <c r="A148" s="3" t="s">
        <v>104</v>
      </c>
      <c r="B148" s="3" t="s">
        <v>12</v>
      </c>
      <c r="C148" s="3" t="s">
        <v>946</v>
      </c>
      <c r="D148" s="3" t="s">
        <v>757</v>
      </c>
      <c r="E148" s="3" t="s">
        <v>948</v>
      </c>
      <c r="F148" s="3" t="s">
        <v>759</v>
      </c>
      <c r="G148" s="3" t="s">
        <v>764</v>
      </c>
      <c r="H148" s="3" t="s">
        <v>10</v>
      </c>
      <c r="I148" s="3" t="s">
        <v>10</v>
      </c>
      <c r="J148" s="3" t="s">
        <v>10</v>
      </c>
      <c r="K148" s="3" t="s">
        <v>1443</v>
      </c>
      <c r="L148" s="1"/>
    </row>
    <row r="149" spans="1:12" ht="29" x14ac:dyDescent="0.35">
      <c r="A149" s="3" t="s">
        <v>104</v>
      </c>
      <c r="B149" s="3" t="s">
        <v>12</v>
      </c>
      <c r="C149" s="3" t="s">
        <v>946</v>
      </c>
      <c r="D149" s="3" t="s">
        <v>776</v>
      </c>
      <c r="E149" s="3" t="s">
        <v>949</v>
      </c>
      <c r="F149" s="3" t="s">
        <v>770</v>
      </c>
      <c r="G149" s="3" t="s">
        <v>756</v>
      </c>
      <c r="H149" s="3" t="s">
        <v>764</v>
      </c>
      <c r="I149" s="3" t="s">
        <v>10</v>
      </c>
      <c r="J149" s="3" t="s">
        <v>10</v>
      </c>
      <c r="K149" s="3" t="s">
        <v>1462</v>
      </c>
      <c r="L149" s="1"/>
    </row>
    <row r="150" spans="1:12" ht="58" x14ac:dyDescent="0.35">
      <c r="A150" s="3" t="s">
        <v>108</v>
      </c>
      <c r="B150" s="3" t="s">
        <v>7</v>
      </c>
      <c r="C150" s="3" t="s">
        <v>750</v>
      </c>
      <c r="D150" s="3" t="s">
        <v>751</v>
      </c>
      <c r="E150" s="3" t="s">
        <v>950</v>
      </c>
      <c r="F150" s="3" t="s">
        <v>778</v>
      </c>
      <c r="G150" s="3" t="s">
        <v>769</v>
      </c>
      <c r="H150" s="3" t="s">
        <v>10</v>
      </c>
      <c r="I150" s="3" t="s">
        <v>10</v>
      </c>
      <c r="J150" s="3" t="s">
        <v>10</v>
      </c>
      <c r="K150" s="3" t="s">
        <v>1463</v>
      </c>
      <c r="L150" s="1"/>
    </row>
    <row r="151" spans="1:12" ht="43.5" x14ac:dyDescent="0.35">
      <c r="A151" s="3" t="s">
        <v>111</v>
      </c>
      <c r="B151" s="3" t="s">
        <v>44</v>
      </c>
      <c r="C151" s="3" t="s">
        <v>787</v>
      </c>
      <c r="D151" s="3" t="s">
        <v>751</v>
      </c>
      <c r="E151" s="3" t="s">
        <v>951</v>
      </c>
      <c r="F151" s="3" t="s">
        <v>767</v>
      </c>
      <c r="G151" s="3" t="s">
        <v>772</v>
      </c>
      <c r="H151" s="3" t="s">
        <v>10</v>
      </c>
      <c r="I151" s="3" t="s">
        <v>10</v>
      </c>
      <c r="J151" s="3" t="s">
        <v>10</v>
      </c>
      <c r="K151" s="3" t="s">
        <v>1417</v>
      </c>
      <c r="L151" s="1"/>
    </row>
    <row r="152" spans="1:12" ht="29" x14ac:dyDescent="0.35">
      <c r="A152" s="3" t="s">
        <v>111</v>
      </c>
      <c r="B152" s="3" t="s">
        <v>44</v>
      </c>
      <c r="C152" s="3" t="s">
        <v>787</v>
      </c>
      <c r="D152" s="3" t="s">
        <v>757</v>
      </c>
      <c r="E152" s="3" t="s">
        <v>952</v>
      </c>
      <c r="F152" s="3" t="s">
        <v>759</v>
      </c>
      <c r="G152" s="3" t="s">
        <v>10</v>
      </c>
      <c r="H152" s="3" t="s">
        <v>10</v>
      </c>
      <c r="I152" s="3" t="s">
        <v>10</v>
      </c>
      <c r="J152" s="3" t="s">
        <v>10</v>
      </c>
      <c r="K152" s="3" t="s">
        <v>1464</v>
      </c>
      <c r="L152" s="1"/>
    </row>
    <row r="153" spans="1:12" x14ac:dyDescent="0.35">
      <c r="A153" s="3" t="s">
        <v>111</v>
      </c>
      <c r="B153" s="3" t="s">
        <v>44</v>
      </c>
      <c r="C153" s="3" t="s">
        <v>787</v>
      </c>
      <c r="D153" s="3" t="s">
        <v>776</v>
      </c>
      <c r="E153" s="3" t="s">
        <v>953</v>
      </c>
      <c r="F153" s="3" t="s">
        <v>753</v>
      </c>
      <c r="G153" s="3" t="s">
        <v>10</v>
      </c>
      <c r="H153" s="3" t="s">
        <v>10</v>
      </c>
      <c r="I153" s="3" t="s">
        <v>10</v>
      </c>
      <c r="J153" s="3" t="s">
        <v>10</v>
      </c>
      <c r="K153" s="3" t="s">
        <v>1178</v>
      </c>
      <c r="L153" s="1"/>
    </row>
    <row r="154" spans="1:12" ht="29" x14ac:dyDescent="0.35">
      <c r="A154" s="3" t="s">
        <v>111</v>
      </c>
      <c r="B154" s="3" t="s">
        <v>44</v>
      </c>
      <c r="C154" s="3" t="s">
        <v>787</v>
      </c>
      <c r="D154" s="3" t="s">
        <v>779</v>
      </c>
      <c r="E154" s="3" t="s">
        <v>954</v>
      </c>
      <c r="F154" s="3" t="s">
        <v>753</v>
      </c>
      <c r="G154" s="3" t="s">
        <v>783</v>
      </c>
      <c r="H154" s="3" t="s">
        <v>10</v>
      </c>
      <c r="I154" s="3" t="s">
        <v>10</v>
      </c>
      <c r="J154" s="3" t="s">
        <v>10</v>
      </c>
      <c r="K154" s="3" t="s">
        <v>1465</v>
      </c>
      <c r="L154" s="1"/>
    </row>
    <row r="155" spans="1:12" ht="43.5" x14ac:dyDescent="0.35">
      <c r="A155" s="3" t="s">
        <v>111</v>
      </c>
      <c r="B155" s="3" t="s">
        <v>44</v>
      </c>
      <c r="C155" s="3" t="s">
        <v>787</v>
      </c>
      <c r="D155" s="3" t="s">
        <v>781</v>
      </c>
      <c r="E155" s="3" t="s">
        <v>955</v>
      </c>
      <c r="F155" s="3" t="s">
        <v>759</v>
      </c>
      <c r="G155" s="3" t="s">
        <v>753</v>
      </c>
      <c r="H155" s="3" t="s">
        <v>10</v>
      </c>
      <c r="I155" s="3" t="s">
        <v>10</v>
      </c>
      <c r="J155" s="3" t="s">
        <v>10</v>
      </c>
      <c r="K155" s="3" t="s">
        <v>1443</v>
      </c>
      <c r="L155" s="1"/>
    </row>
    <row r="156" spans="1:12" ht="43.5" x14ac:dyDescent="0.35">
      <c r="A156" s="3" t="s">
        <v>111</v>
      </c>
      <c r="B156" s="3" t="s">
        <v>44</v>
      </c>
      <c r="C156" s="3" t="s">
        <v>787</v>
      </c>
      <c r="D156" s="3" t="s">
        <v>784</v>
      </c>
      <c r="E156" s="3" t="s">
        <v>956</v>
      </c>
      <c r="F156" s="3" t="s">
        <v>759</v>
      </c>
      <c r="G156" s="3" t="s">
        <v>10</v>
      </c>
      <c r="H156" s="3" t="s">
        <v>10</v>
      </c>
      <c r="I156" s="3" t="s">
        <v>10</v>
      </c>
      <c r="J156" s="3" t="s">
        <v>10</v>
      </c>
      <c r="K156" s="3" t="s">
        <v>1466</v>
      </c>
      <c r="L156" s="1"/>
    </row>
    <row r="157" spans="1:12" ht="43.5" x14ac:dyDescent="0.35">
      <c r="A157" s="3" t="s">
        <v>111</v>
      </c>
      <c r="B157" s="3" t="s">
        <v>44</v>
      </c>
      <c r="C157" s="3" t="s">
        <v>787</v>
      </c>
      <c r="D157" s="3" t="s">
        <v>825</v>
      </c>
      <c r="E157" s="3" t="s">
        <v>957</v>
      </c>
      <c r="F157" s="3" t="s">
        <v>756</v>
      </c>
      <c r="G157" s="3" t="s">
        <v>767</v>
      </c>
      <c r="H157" s="3" t="s">
        <v>759</v>
      </c>
      <c r="I157" s="3" t="s">
        <v>10</v>
      </c>
      <c r="J157" s="3" t="s">
        <v>10</v>
      </c>
      <c r="K157" s="3" t="s">
        <v>1467</v>
      </c>
      <c r="L157" s="1"/>
    </row>
    <row r="158" spans="1:12" ht="43.5" x14ac:dyDescent="0.35">
      <c r="A158" s="3" t="s">
        <v>111</v>
      </c>
      <c r="B158" s="3" t="s">
        <v>44</v>
      </c>
      <c r="C158" s="3" t="s">
        <v>787</v>
      </c>
      <c r="D158" s="3" t="s">
        <v>827</v>
      </c>
      <c r="E158" s="3" t="s">
        <v>958</v>
      </c>
      <c r="F158" s="3" t="s">
        <v>753</v>
      </c>
      <c r="G158" s="3" t="s">
        <v>759</v>
      </c>
      <c r="H158" s="3" t="s">
        <v>756</v>
      </c>
      <c r="I158" s="3" t="s">
        <v>10</v>
      </c>
      <c r="J158" s="3" t="s">
        <v>10</v>
      </c>
      <c r="K158" s="3" t="s">
        <v>1468</v>
      </c>
      <c r="L158" s="1"/>
    </row>
    <row r="159" spans="1:12" ht="43.5" x14ac:dyDescent="0.35">
      <c r="A159" s="3" t="s">
        <v>114</v>
      </c>
      <c r="B159" s="3" t="s">
        <v>12</v>
      </c>
      <c r="C159" s="3" t="s">
        <v>750</v>
      </c>
      <c r="D159" s="3" t="s">
        <v>751</v>
      </c>
      <c r="E159" s="3" t="s">
        <v>959</v>
      </c>
      <c r="F159" s="3" t="s">
        <v>770</v>
      </c>
      <c r="G159" s="3" t="s">
        <v>769</v>
      </c>
      <c r="H159" s="3" t="s">
        <v>10</v>
      </c>
      <c r="I159" s="3" t="s">
        <v>10</v>
      </c>
      <c r="J159" s="3" t="s">
        <v>10</v>
      </c>
      <c r="K159" s="3" t="s">
        <v>1434</v>
      </c>
      <c r="L159" s="1"/>
    </row>
    <row r="160" spans="1:12" ht="43.5" x14ac:dyDescent="0.35">
      <c r="A160" s="3" t="s">
        <v>114</v>
      </c>
      <c r="B160" s="3" t="s">
        <v>12</v>
      </c>
      <c r="C160" s="3" t="s">
        <v>750</v>
      </c>
      <c r="D160" s="3" t="s">
        <v>757</v>
      </c>
      <c r="E160" s="3" t="s">
        <v>960</v>
      </c>
      <c r="F160" s="3" t="s">
        <v>770</v>
      </c>
      <c r="G160" s="3" t="s">
        <v>789</v>
      </c>
      <c r="H160" s="3" t="s">
        <v>10</v>
      </c>
      <c r="I160" s="3" t="s">
        <v>10</v>
      </c>
      <c r="J160" s="3" t="s">
        <v>10</v>
      </c>
      <c r="K160" s="3" t="s">
        <v>1418</v>
      </c>
      <c r="L160" s="1"/>
    </row>
    <row r="161" spans="1:12" ht="29" x14ac:dyDescent="0.35">
      <c r="A161" s="3" t="s">
        <v>114</v>
      </c>
      <c r="B161" s="3" t="s">
        <v>12</v>
      </c>
      <c r="C161" s="3" t="s">
        <v>750</v>
      </c>
      <c r="D161" s="3" t="s">
        <v>776</v>
      </c>
      <c r="E161" s="3" t="s">
        <v>961</v>
      </c>
      <c r="F161" s="3" t="s">
        <v>770</v>
      </c>
      <c r="G161" s="3" t="s">
        <v>10</v>
      </c>
      <c r="H161" s="3" t="s">
        <v>10</v>
      </c>
      <c r="I161" s="3" t="s">
        <v>10</v>
      </c>
      <c r="J161" s="3" t="s">
        <v>10</v>
      </c>
      <c r="K161" s="3" t="s">
        <v>1465</v>
      </c>
      <c r="L161" s="1"/>
    </row>
    <row r="162" spans="1:12" ht="72.5" x14ac:dyDescent="0.35">
      <c r="A162" s="3" t="s">
        <v>114</v>
      </c>
      <c r="B162" s="3" t="s">
        <v>12</v>
      </c>
      <c r="C162" s="3" t="s">
        <v>750</v>
      </c>
      <c r="D162" s="3" t="s">
        <v>779</v>
      </c>
      <c r="E162" s="3" t="s">
        <v>962</v>
      </c>
      <c r="F162" s="3" t="s">
        <v>770</v>
      </c>
      <c r="G162" s="3" t="s">
        <v>767</v>
      </c>
      <c r="H162" s="3" t="s">
        <v>10</v>
      </c>
      <c r="I162" s="3" t="s">
        <v>10</v>
      </c>
      <c r="J162" s="3" t="s">
        <v>10</v>
      </c>
      <c r="K162" s="3" t="s">
        <v>1469</v>
      </c>
      <c r="L162" s="1"/>
    </row>
    <row r="163" spans="1:12" ht="58" x14ac:dyDescent="0.35">
      <c r="A163" s="3" t="s">
        <v>114</v>
      </c>
      <c r="B163" s="3" t="s">
        <v>12</v>
      </c>
      <c r="C163" s="3" t="s">
        <v>750</v>
      </c>
      <c r="D163" s="3" t="s">
        <v>781</v>
      </c>
      <c r="E163" s="3" t="s">
        <v>963</v>
      </c>
      <c r="F163" s="3" t="s">
        <v>767</v>
      </c>
      <c r="G163" s="3" t="s">
        <v>770</v>
      </c>
      <c r="H163" s="3" t="s">
        <v>789</v>
      </c>
      <c r="I163" s="3" t="s">
        <v>10</v>
      </c>
      <c r="J163" s="3" t="s">
        <v>10</v>
      </c>
      <c r="K163" s="3" t="s">
        <v>1418</v>
      </c>
      <c r="L163" s="1"/>
    </row>
    <row r="164" spans="1:12" ht="43.5" x14ac:dyDescent="0.35">
      <c r="A164" s="3" t="s">
        <v>114</v>
      </c>
      <c r="B164" s="3" t="s">
        <v>12</v>
      </c>
      <c r="C164" s="3" t="s">
        <v>750</v>
      </c>
      <c r="D164" s="3" t="s">
        <v>784</v>
      </c>
      <c r="E164" s="3" t="s">
        <v>964</v>
      </c>
      <c r="F164" s="3" t="s">
        <v>767</v>
      </c>
      <c r="G164" s="3" t="s">
        <v>789</v>
      </c>
      <c r="H164" s="3" t="s">
        <v>772</v>
      </c>
      <c r="I164" s="3" t="s">
        <v>10</v>
      </c>
      <c r="J164" s="3" t="s">
        <v>10</v>
      </c>
      <c r="K164" s="3" t="s">
        <v>1470</v>
      </c>
      <c r="L164" s="1"/>
    </row>
    <row r="479" spans="1:3" ht="145" customHeight="1" x14ac:dyDescent="0.35">
      <c r="A479" s="32" t="s">
        <v>1383</v>
      </c>
      <c r="B479" s="32"/>
      <c r="C479" s="32"/>
    </row>
  </sheetData>
  <mergeCells count="1">
    <mergeCell ref="A479:C47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29D89-2A9F-458B-A11F-A07B60DBD69C}">
  <dimension ref="A1:Q255"/>
  <sheetViews>
    <sheetView zoomScale="55" zoomScaleNormal="70" workbookViewId="0">
      <selection activeCell="E32" sqref="E32"/>
    </sheetView>
  </sheetViews>
  <sheetFormatPr baseColWidth="10" defaultRowHeight="14.5" x14ac:dyDescent="0.35"/>
  <cols>
    <col min="2" max="2" width="66.36328125" customWidth="1"/>
    <col min="4" max="4" width="19.81640625" customWidth="1"/>
    <col min="5" max="5" width="25.90625" customWidth="1"/>
    <col min="6" max="6" width="67.81640625" customWidth="1"/>
    <col min="11" max="11" width="29.26953125" customWidth="1"/>
    <col min="12" max="12" width="43.81640625" customWidth="1"/>
    <col min="13" max="13" width="87.81640625" customWidth="1"/>
    <col min="14" max="14" width="51.453125" customWidth="1"/>
    <col min="18" max="18" width="17.6328125" customWidth="1"/>
    <col min="19" max="19" width="13.08984375" customWidth="1"/>
  </cols>
  <sheetData>
    <row r="1" spans="1:17" ht="18.5" x14ac:dyDescent="0.35">
      <c r="A1" s="11" t="s">
        <v>1</v>
      </c>
      <c r="B1" s="11" t="s">
        <v>4</v>
      </c>
      <c r="C1" s="11" t="s">
        <v>1311</v>
      </c>
      <c r="D1" s="11" t="s">
        <v>1312</v>
      </c>
      <c r="E1" s="11" t="s">
        <v>1472</v>
      </c>
      <c r="F1" s="11" t="s">
        <v>1314</v>
      </c>
      <c r="K1" s="11" t="s">
        <v>1313</v>
      </c>
      <c r="L1" s="12" t="s">
        <v>1273</v>
      </c>
      <c r="M1" s="13" t="s">
        <v>1274</v>
      </c>
      <c r="N1" s="14" t="s">
        <v>1275</v>
      </c>
      <c r="Q1" t="s">
        <v>1471</v>
      </c>
    </row>
    <row r="2" spans="1:17" ht="159.5" x14ac:dyDescent="0.35">
      <c r="A2" s="15" t="s">
        <v>6</v>
      </c>
      <c r="B2" s="15" t="s">
        <v>1276</v>
      </c>
      <c r="C2" s="15">
        <v>2023</v>
      </c>
      <c r="D2" s="16" t="s">
        <v>1365</v>
      </c>
      <c r="E2" s="17" t="s">
        <v>1277</v>
      </c>
      <c r="F2" s="18" t="s">
        <v>1315</v>
      </c>
      <c r="K2" s="11" t="s">
        <v>1372</v>
      </c>
      <c r="L2" s="19" t="s">
        <v>1378</v>
      </c>
      <c r="M2" s="20" t="s">
        <v>1377</v>
      </c>
      <c r="N2" s="21" t="s">
        <v>1379</v>
      </c>
    </row>
    <row r="3" spans="1:17" ht="112" x14ac:dyDescent="0.35">
      <c r="A3" s="15" t="s">
        <v>11</v>
      </c>
      <c r="B3" s="15" t="s">
        <v>1278</v>
      </c>
      <c r="C3" s="15">
        <v>2024</v>
      </c>
      <c r="D3" s="16" t="s">
        <v>1366</v>
      </c>
      <c r="E3" s="18" t="s">
        <v>1275</v>
      </c>
      <c r="F3" s="18" t="s">
        <v>1316</v>
      </c>
      <c r="K3" s="11" t="s">
        <v>1373</v>
      </c>
      <c r="L3" s="5" t="s">
        <v>1376</v>
      </c>
      <c r="M3" s="22" t="s">
        <v>1375</v>
      </c>
      <c r="N3" s="23" t="s">
        <v>1374</v>
      </c>
    </row>
    <row r="4" spans="1:17" ht="96" x14ac:dyDescent="0.35">
      <c r="A4" s="15" t="s">
        <v>16</v>
      </c>
      <c r="B4" s="15" t="s">
        <v>1279</v>
      </c>
      <c r="C4" s="15">
        <v>2025</v>
      </c>
      <c r="D4" s="16" t="s">
        <v>1363</v>
      </c>
      <c r="E4" s="18" t="s">
        <v>1275</v>
      </c>
      <c r="F4" s="18" t="s">
        <v>1317</v>
      </c>
    </row>
    <row r="5" spans="1:17" ht="96" x14ac:dyDescent="0.35">
      <c r="A5" s="15" t="s">
        <v>19</v>
      </c>
      <c r="B5" s="15" t="s">
        <v>1280</v>
      </c>
      <c r="C5" s="15">
        <v>2022</v>
      </c>
      <c r="D5" s="16" t="s">
        <v>1367</v>
      </c>
      <c r="E5" s="18" t="s">
        <v>1277</v>
      </c>
      <c r="F5" s="18" t="s">
        <v>1318</v>
      </c>
      <c r="K5" s="11" t="s">
        <v>1472</v>
      </c>
      <c r="L5" s="11" t="s">
        <v>1371</v>
      </c>
      <c r="M5" s="11" t="s">
        <v>1473</v>
      </c>
    </row>
    <row r="6" spans="1:17" ht="143.5" customHeight="1" x14ac:dyDescent="0.65">
      <c r="A6" s="15" t="s">
        <v>22</v>
      </c>
      <c r="B6" s="24" t="s">
        <v>1281</v>
      </c>
      <c r="C6" s="24">
        <v>2019</v>
      </c>
      <c r="D6" s="16" t="s">
        <v>1367</v>
      </c>
      <c r="E6" s="18" t="s">
        <v>1273</v>
      </c>
      <c r="F6" s="18" t="s">
        <v>1319</v>
      </c>
      <c r="K6" s="25" t="str" cm="1">
        <f t="array" ref="K6:K8">_xlfn.UNIQUE(E2:E35)</f>
        <v>Transitional AI-based</v>
      </c>
      <c r="L6" s="6">
        <f>COUNTIF(E2:E35, K6)</f>
        <v>19</v>
      </c>
      <c r="M6" s="28" t="str" cm="1">
        <f t="array" ref="M6">_xlfn.TEXTJOIN(",",TRUE,_xlfn._xlws.FILTER(A2:A35,E2:E35=K6))</f>
        <v>A1,A6,B1,B3,B4,B5,B12,B13,B15,B17,B18,B19,B22,B23,B24,B26,C1,C2,C3</v>
      </c>
    </row>
    <row r="7" spans="1:17" ht="90.5" customHeight="1" x14ac:dyDescent="0.65">
      <c r="A7" s="15" t="s">
        <v>25</v>
      </c>
      <c r="B7" s="15" t="s">
        <v>1282</v>
      </c>
      <c r="C7" s="15">
        <v>2023</v>
      </c>
      <c r="D7" s="16" t="s">
        <v>1368</v>
      </c>
      <c r="E7" s="18" t="s">
        <v>1277</v>
      </c>
      <c r="F7" s="18" t="s">
        <v>1320</v>
      </c>
      <c r="K7" s="25" t="str">
        <v>LLM-influenced</v>
      </c>
      <c r="L7" s="6">
        <f>COUNTIF(E$2:E$35, K7)</f>
        <v>10</v>
      </c>
      <c r="M7" s="28" t="str" cm="1">
        <f t="array" ref="M7">_xlfn.TEXTJOIN(",",TRUE,_xlfn._xlws.FILTER(A2:A35,E2:E35=K7))</f>
        <v>A3,A5,B2,B6,B7,B8,B9,B10,B11,B16</v>
      </c>
    </row>
    <row r="8" spans="1:17" ht="144" x14ac:dyDescent="0.65">
      <c r="A8" s="15" t="s">
        <v>30</v>
      </c>
      <c r="B8" s="15" t="s">
        <v>1283</v>
      </c>
      <c r="C8" s="15">
        <v>2025</v>
      </c>
      <c r="D8" s="16" t="s">
        <v>1369</v>
      </c>
      <c r="E8" s="18" t="s">
        <v>1275</v>
      </c>
      <c r="F8" s="18" t="s">
        <v>1321</v>
      </c>
      <c r="K8" s="25" t="str">
        <v>Pre-LLM</v>
      </c>
      <c r="L8" s="6">
        <f>COUNTIF(E$2:E$35, K8)</f>
        <v>5</v>
      </c>
      <c r="M8" s="28" t="str" cm="1">
        <f t="array" ref="M8">_xlfn.TEXTJOIN(",",TRUE,_xlfn._xlws.FILTER(A2:A35,E2:E35=K8))</f>
        <v>A7,B14,B20,B21,B25</v>
      </c>
    </row>
    <row r="9" spans="1:17" ht="128" x14ac:dyDescent="0.35">
      <c r="A9" s="15" t="s">
        <v>33</v>
      </c>
      <c r="B9" s="26" t="s">
        <v>1284</v>
      </c>
      <c r="C9" s="26">
        <v>2023</v>
      </c>
      <c r="D9" s="27" t="s">
        <v>1370</v>
      </c>
      <c r="E9" s="18" t="s">
        <v>1277</v>
      </c>
      <c r="F9" s="18" t="s">
        <v>1322</v>
      </c>
      <c r="K9" s="25" t="s">
        <v>1285</v>
      </c>
      <c r="L9" s="6">
        <f>SUM(L6:L8)</f>
        <v>34</v>
      </c>
      <c r="M9" s="6"/>
    </row>
    <row r="10" spans="1:17" ht="96" x14ac:dyDescent="0.35">
      <c r="A10" s="15" t="s">
        <v>36</v>
      </c>
      <c r="B10" s="26" t="s">
        <v>1286</v>
      </c>
      <c r="C10" s="26">
        <v>2024</v>
      </c>
      <c r="D10" s="27" t="s">
        <v>1364</v>
      </c>
      <c r="E10" s="18" t="s">
        <v>1277</v>
      </c>
      <c r="F10" s="18" t="s">
        <v>1323</v>
      </c>
    </row>
    <row r="11" spans="1:17" ht="128" x14ac:dyDescent="0.35">
      <c r="A11" s="15" t="s">
        <v>40</v>
      </c>
      <c r="B11" s="15" t="s">
        <v>1287</v>
      </c>
      <c r="C11" s="15">
        <v>2023</v>
      </c>
      <c r="D11" s="16" t="s">
        <v>1360</v>
      </c>
      <c r="E11" s="18" t="s">
        <v>1277</v>
      </c>
      <c r="F11" s="18" t="s">
        <v>1324</v>
      </c>
    </row>
    <row r="12" spans="1:17" ht="160" x14ac:dyDescent="0.35">
      <c r="A12" s="15" t="s">
        <v>43</v>
      </c>
      <c r="B12" s="15" t="s">
        <v>1288</v>
      </c>
      <c r="C12" s="15">
        <v>2025</v>
      </c>
      <c r="D12" s="16" t="s">
        <v>1363</v>
      </c>
      <c r="E12" s="18" t="s">
        <v>1275</v>
      </c>
      <c r="F12" s="18" t="s">
        <v>1325</v>
      </c>
    </row>
    <row r="13" spans="1:17" ht="64" x14ac:dyDescent="0.35">
      <c r="A13" s="15" t="s">
        <v>47</v>
      </c>
      <c r="B13" s="15" t="s">
        <v>1289</v>
      </c>
      <c r="C13" s="15">
        <v>2025</v>
      </c>
      <c r="D13" s="16" t="s">
        <v>1362</v>
      </c>
      <c r="E13" s="18" t="s">
        <v>1275</v>
      </c>
      <c r="F13" s="18" t="s">
        <v>1326</v>
      </c>
    </row>
    <row r="14" spans="1:17" ht="176" x14ac:dyDescent="0.35">
      <c r="A14" s="15" t="s">
        <v>51</v>
      </c>
      <c r="B14" s="15" t="s">
        <v>1290</v>
      </c>
      <c r="C14" s="15">
        <v>2024</v>
      </c>
      <c r="D14" s="16">
        <v>2024</v>
      </c>
      <c r="E14" s="18" t="s">
        <v>1275</v>
      </c>
      <c r="F14" s="18" t="s">
        <v>1327</v>
      </c>
    </row>
    <row r="15" spans="1:17" ht="64" x14ac:dyDescent="0.35">
      <c r="A15" s="15" t="s">
        <v>54</v>
      </c>
      <c r="B15" s="15" t="s">
        <v>1291</v>
      </c>
      <c r="C15" s="15">
        <v>2024</v>
      </c>
      <c r="D15" s="16">
        <v>2024</v>
      </c>
      <c r="E15" s="18" t="s">
        <v>1275</v>
      </c>
      <c r="F15" s="18" t="s">
        <v>1328</v>
      </c>
    </row>
    <row r="16" spans="1:17" ht="208" x14ac:dyDescent="0.35">
      <c r="A16" s="15" t="s">
        <v>57</v>
      </c>
      <c r="B16" s="15" t="s">
        <v>1292</v>
      </c>
      <c r="C16" s="15">
        <v>2025</v>
      </c>
      <c r="D16" s="16">
        <v>2025</v>
      </c>
      <c r="E16" s="18" t="s">
        <v>1275</v>
      </c>
      <c r="F16" s="18" t="s">
        <v>1329</v>
      </c>
    </row>
    <row r="17" spans="1:6" ht="112" x14ac:dyDescent="0.35">
      <c r="A17" s="15" t="s">
        <v>60</v>
      </c>
      <c r="B17" s="15" t="s">
        <v>1293</v>
      </c>
      <c r="C17" s="15">
        <v>2023</v>
      </c>
      <c r="D17" s="16" t="s">
        <v>1361</v>
      </c>
      <c r="E17" s="18" t="s">
        <v>1275</v>
      </c>
      <c r="F17" s="18" t="s">
        <v>1330</v>
      </c>
    </row>
    <row r="18" spans="1:6" ht="80" x14ac:dyDescent="0.35">
      <c r="A18" s="15" t="s">
        <v>62</v>
      </c>
      <c r="B18" s="15" t="s">
        <v>1294</v>
      </c>
      <c r="C18" s="15">
        <v>2024</v>
      </c>
      <c r="D18" s="16">
        <v>2024</v>
      </c>
      <c r="E18" s="18" t="s">
        <v>1277</v>
      </c>
      <c r="F18" s="18" t="s">
        <v>1331</v>
      </c>
    </row>
    <row r="19" spans="1:6" ht="64" x14ac:dyDescent="0.35">
      <c r="A19" s="15" t="s">
        <v>66</v>
      </c>
      <c r="B19" s="15" t="s">
        <v>1295</v>
      </c>
      <c r="C19" s="15">
        <v>2023</v>
      </c>
      <c r="D19" s="16" t="s">
        <v>1360</v>
      </c>
      <c r="E19" s="18" t="s">
        <v>1277</v>
      </c>
      <c r="F19" s="18" t="s">
        <v>1332</v>
      </c>
    </row>
    <row r="20" spans="1:6" ht="96" x14ac:dyDescent="0.35">
      <c r="A20" s="15" t="s">
        <v>69</v>
      </c>
      <c r="B20" s="15" t="s">
        <v>1296</v>
      </c>
      <c r="C20" s="15">
        <v>2022</v>
      </c>
      <c r="D20" s="16">
        <v>2022</v>
      </c>
      <c r="E20" s="18" t="s">
        <v>1273</v>
      </c>
      <c r="F20" s="18" t="s">
        <v>1333</v>
      </c>
    </row>
    <row r="21" spans="1:6" ht="96" x14ac:dyDescent="0.35">
      <c r="A21" s="15" t="s">
        <v>72</v>
      </c>
      <c r="B21" s="15" t="s">
        <v>1297</v>
      </c>
      <c r="C21" s="15">
        <v>2020</v>
      </c>
      <c r="D21" s="16" t="s">
        <v>1354</v>
      </c>
      <c r="E21" s="18" t="s">
        <v>1277</v>
      </c>
      <c r="F21" s="18" t="s">
        <v>1334</v>
      </c>
    </row>
    <row r="22" spans="1:6" ht="144" x14ac:dyDescent="0.35">
      <c r="A22" s="15" t="s">
        <v>76</v>
      </c>
      <c r="B22" s="15" t="s">
        <v>1298</v>
      </c>
      <c r="C22" s="15">
        <v>2024</v>
      </c>
      <c r="D22" s="16" t="s">
        <v>1359</v>
      </c>
      <c r="E22" s="18" t="s">
        <v>1275</v>
      </c>
      <c r="F22" s="18" t="s">
        <v>1335</v>
      </c>
    </row>
    <row r="23" spans="1:6" ht="96" x14ac:dyDescent="0.35">
      <c r="A23" s="15" t="s">
        <v>79</v>
      </c>
      <c r="B23" s="15" t="s">
        <v>1299</v>
      </c>
      <c r="C23" s="15">
        <v>2022</v>
      </c>
      <c r="D23" s="16" t="s">
        <v>1358</v>
      </c>
      <c r="E23" s="18" t="s">
        <v>1277</v>
      </c>
      <c r="F23" s="18" t="s">
        <v>1336</v>
      </c>
    </row>
    <row r="24" spans="1:6" ht="96" x14ac:dyDescent="0.35">
      <c r="A24" s="15" t="s">
        <v>82</v>
      </c>
      <c r="B24" s="15" t="s">
        <v>1300</v>
      </c>
      <c r="C24" s="15">
        <v>2024</v>
      </c>
      <c r="D24" s="16">
        <v>2024</v>
      </c>
      <c r="E24" s="18" t="s">
        <v>1277</v>
      </c>
      <c r="F24" s="18" t="s">
        <v>1337</v>
      </c>
    </row>
    <row r="25" spans="1:6" ht="96" x14ac:dyDescent="0.35">
      <c r="A25" s="15" t="s">
        <v>84</v>
      </c>
      <c r="B25" s="15" t="s">
        <v>1301</v>
      </c>
      <c r="C25" s="15">
        <v>2025</v>
      </c>
      <c r="D25" s="16" t="s">
        <v>1355</v>
      </c>
      <c r="E25" s="18" t="s">
        <v>1277</v>
      </c>
      <c r="F25" s="18" t="s">
        <v>1338</v>
      </c>
    </row>
    <row r="26" spans="1:6" ht="62" x14ac:dyDescent="0.35">
      <c r="A26" s="15" t="s">
        <v>88</v>
      </c>
      <c r="B26" s="15" t="s">
        <v>1302</v>
      </c>
      <c r="C26" s="15">
        <v>2019</v>
      </c>
      <c r="D26" s="16" t="s">
        <v>1357</v>
      </c>
      <c r="E26" s="18" t="s">
        <v>1273</v>
      </c>
      <c r="F26" s="18" t="s">
        <v>1339</v>
      </c>
    </row>
    <row r="27" spans="1:6" ht="62" x14ac:dyDescent="0.35">
      <c r="A27" s="15" t="s">
        <v>91</v>
      </c>
      <c r="B27" s="15" t="s">
        <v>1303</v>
      </c>
      <c r="C27" s="15">
        <v>2020</v>
      </c>
      <c r="D27" s="16" t="s">
        <v>1354</v>
      </c>
      <c r="E27" s="18" t="s">
        <v>1273</v>
      </c>
      <c r="F27" s="18" t="s">
        <v>1340</v>
      </c>
    </row>
    <row r="28" spans="1:6" ht="48" x14ac:dyDescent="0.35">
      <c r="A28" s="15" t="s">
        <v>94</v>
      </c>
      <c r="B28" s="15" t="s">
        <v>1304</v>
      </c>
      <c r="C28" s="15">
        <v>2023</v>
      </c>
      <c r="D28" s="16" t="s">
        <v>1356</v>
      </c>
      <c r="E28" s="18" t="s">
        <v>1277</v>
      </c>
      <c r="F28" s="18" t="s">
        <v>1341</v>
      </c>
    </row>
    <row r="29" spans="1:6" ht="112" x14ac:dyDescent="0.35">
      <c r="A29" s="15" t="s">
        <v>97</v>
      </c>
      <c r="B29" s="15" t="s">
        <v>1305</v>
      </c>
      <c r="C29" s="15">
        <v>2022</v>
      </c>
      <c r="D29" s="16" t="s">
        <v>1355</v>
      </c>
      <c r="E29" s="18" t="s">
        <v>1277</v>
      </c>
      <c r="F29" s="18" t="s">
        <v>1342</v>
      </c>
    </row>
    <row r="30" spans="1:6" ht="80" x14ac:dyDescent="0.35">
      <c r="A30" s="15" t="s">
        <v>100</v>
      </c>
      <c r="B30" s="15" t="s">
        <v>1306</v>
      </c>
      <c r="C30" s="15">
        <v>2020</v>
      </c>
      <c r="D30" s="16" t="s">
        <v>1354</v>
      </c>
      <c r="E30" s="18" t="s">
        <v>1277</v>
      </c>
      <c r="F30" s="18" t="s">
        <v>1343</v>
      </c>
    </row>
    <row r="31" spans="1:6" ht="96" x14ac:dyDescent="0.35">
      <c r="A31" s="15" t="s">
        <v>102</v>
      </c>
      <c r="B31" s="15" t="s">
        <v>1307</v>
      </c>
      <c r="C31" s="15">
        <v>2019</v>
      </c>
      <c r="D31" s="16" t="s">
        <v>1353</v>
      </c>
      <c r="E31" s="18" t="s">
        <v>1273</v>
      </c>
      <c r="F31" s="18" t="s">
        <v>1344</v>
      </c>
    </row>
    <row r="32" spans="1:6" ht="64" x14ac:dyDescent="0.35">
      <c r="A32" s="15" t="s">
        <v>104</v>
      </c>
      <c r="B32" s="15" t="s">
        <v>1308</v>
      </c>
      <c r="C32" s="15">
        <v>2018</v>
      </c>
      <c r="D32" s="16" t="s">
        <v>1352</v>
      </c>
      <c r="E32" s="18" t="s">
        <v>1277</v>
      </c>
      <c r="F32" s="18" t="s">
        <v>1345</v>
      </c>
    </row>
    <row r="33" spans="1:6" ht="155.5" customHeight="1" x14ac:dyDescent="0.35">
      <c r="A33" s="15" t="s">
        <v>108</v>
      </c>
      <c r="B33" s="15" t="s">
        <v>1309</v>
      </c>
      <c r="C33" s="15">
        <v>2023</v>
      </c>
      <c r="D33" s="16" t="s">
        <v>1351</v>
      </c>
      <c r="E33" s="18" t="s">
        <v>1277</v>
      </c>
      <c r="F33" s="18" t="s">
        <v>1346</v>
      </c>
    </row>
    <row r="34" spans="1:6" ht="80" x14ac:dyDescent="0.35">
      <c r="A34" s="15" t="s">
        <v>111</v>
      </c>
      <c r="B34" s="15" t="s">
        <v>1310</v>
      </c>
      <c r="C34" s="15">
        <v>2025</v>
      </c>
      <c r="D34" s="16" t="s">
        <v>1350</v>
      </c>
      <c r="E34" s="18" t="s">
        <v>1277</v>
      </c>
      <c r="F34" s="18" t="s">
        <v>1347</v>
      </c>
    </row>
    <row r="35" spans="1:6" ht="176" x14ac:dyDescent="0.35">
      <c r="A35" s="15" t="s">
        <v>114</v>
      </c>
      <c r="B35" s="26" t="s">
        <v>115</v>
      </c>
      <c r="C35" s="26">
        <v>2023</v>
      </c>
      <c r="D35" s="27" t="s">
        <v>1349</v>
      </c>
      <c r="E35" s="18" t="s">
        <v>1277</v>
      </c>
      <c r="F35" s="18" t="s">
        <v>1348</v>
      </c>
    </row>
    <row r="253" spans="1:3" ht="14.5" customHeight="1" x14ac:dyDescent="0.35">
      <c r="A253" s="33" t="s">
        <v>1383</v>
      </c>
      <c r="B253" s="33"/>
      <c r="C253" s="33"/>
    </row>
    <row r="254" spans="1:3" x14ac:dyDescent="0.35">
      <c r="A254" s="33"/>
      <c r="B254" s="33"/>
      <c r="C254" s="33"/>
    </row>
    <row r="255" spans="1:3" x14ac:dyDescent="0.35">
      <c r="A255" s="33"/>
      <c r="B255" s="33"/>
      <c r="C255" s="33"/>
    </row>
  </sheetData>
  <mergeCells count="1">
    <mergeCell ref="A253:C25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42213-E32D-4C5F-9D5A-F7B871FE87ED}">
  <dimension ref="A1:E39"/>
  <sheetViews>
    <sheetView tabSelected="1" zoomScale="53" workbookViewId="0">
      <selection activeCell="I9" sqref="I9"/>
    </sheetView>
  </sheetViews>
  <sheetFormatPr baseColWidth="10" defaultRowHeight="14.5" x14ac:dyDescent="0.35"/>
  <cols>
    <col min="2" max="2" width="17.81640625" customWidth="1"/>
    <col min="3" max="3" width="23.36328125" customWidth="1"/>
    <col min="4" max="4" width="81.90625" customWidth="1"/>
    <col min="5" max="5" width="111.6328125" customWidth="1"/>
  </cols>
  <sheetData>
    <row r="1" spans="1:5" x14ac:dyDescent="0.35">
      <c r="A1" s="9" t="s">
        <v>741</v>
      </c>
      <c r="B1" s="9" t="s">
        <v>2</v>
      </c>
      <c r="C1" s="9" t="s">
        <v>1472</v>
      </c>
      <c r="D1" s="9" t="s">
        <v>1478</v>
      </c>
      <c r="E1" s="36" t="s">
        <v>1479</v>
      </c>
    </row>
    <row r="2" spans="1:5" ht="43.5" x14ac:dyDescent="0.35">
      <c r="A2" s="37" t="s">
        <v>6</v>
      </c>
      <c r="B2" s="35" t="s">
        <v>7</v>
      </c>
      <c r="C2" s="38" t="s">
        <v>1277</v>
      </c>
      <c r="D2" s="35" t="s">
        <v>1480</v>
      </c>
      <c r="E2" s="35" t="s">
        <v>1514</v>
      </c>
    </row>
    <row r="3" spans="1:5" ht="29" x14ac:dyDescent="0.35">
      <c r="A3" s="37" t="s">
        <v>11</v>
      </c>
      <c r="B3" s="35" t="s">
        <v>12</v>
      </c>
      <c r="C3" s="35" t="s">
        <v>1275</v>
      </c>
      <c r="D3" s="35" t="s">
        <v>1481</v>
      </c>
      <c r="E3" s="35" t="s">
        <v>1515</v>
      </c>
    </row>
    <row r="4" spans="1:5" ht="43.5" x14ac:dyDescent="0.35">
      <c r="A4" s="37" t="s">
        <v>16</v>
      </c>
      <c r="B4" s="35" t="s">
        <v>12</v>
      </c>
      <c r="C4" s="35" t="s">
        <v>1275</v>
      </c>
      <c r="D4" s="35" t="s">
        <v>1482</v>
      </c>
      <c r="E4" s="35" t="s">
        <v>1516</v>
      </c>
    </row>
    <row r="5" spans="1:5" ht="29" x14ac:dyDescent="0.35">
      <c r="A5" s="37" t="s">
        <v>19</v>
      </c>
      <c r="B5" s="35" t="s">
        <v>12</v>
      </c>
      <c r="C5" s="35" t="s">
        <v>1277</v>
      </c>
      <c r="D5" s="35" t="s">
        <v>1483</v>
      </c>
      <c r="E5" s="35" t="s">
        <v>1517</v>
      </c>
    </row>
    <row r="6" spans="1:5" ht="43.5" x14ac:dyDescent="0.35">
      <c r="A6" s="37" t="s">
        <v>22</v>
      </c>
      <c r="B6" s="35" t="s">
        <v>1477</v>
      </c>
      <c r="C6" s="35" t="s">
        <v>1273</v>
      </c>
      <c r="D6" s="35" t="s">
        <v>1484</v>
      </c>
      <c r="E6" s="35" t="s">
        <v>1518</v>
      </c>
    </row>
    <row r="7" spans="1:5" ht="43.5" x14ac:dyDescent="0.35">
      <c r="A7" s="37" t="s">
        <v>25</v>
      </c>
      <c r="B7" s="35" t="s">
        <v>12</v>
      </c>
      <c r="C7" s="35" t="s">
        <v>1277</v>
      </c>
      <c r="D7" s="39" t="s">
        <v>1485</v>
      </c>
      <c r="E7" s="35" t="s">
        <v>1519</v>
      </c>
    </row>
    <row r="8" spans="1:5" ht="63" customHeight="1" x14ac:dyDescent="0.35">
      <c r="A8" s="37" t="s">
        <v>30</v>
      </c>
      <c r="B8" s="35" t="s">
        <v>12</v>
      </c>
      <c r="C8" s="35" t="s">
        <v>1275</v>
      </c>
      <c r="D8" s="39" t="s">
        <v>1486</v>
      </c>
      <c r="E8" s="35" t="s">
        <v>1520</v>
      </c>
    </row>
    <row r="9" spans="1:5" ht="43.5" x14ac:dyDescent="0.35">
      <c r="A9" s="37" t="s">
        <v>33</v>
      </c>
      <c r="B9" s="35" t="s">
        <v>12</v>
      </c>
      <c r="C9" s="35" t="s">
        <v>1277</v>
      </c>
      <c r="D9" s="35" t="s">
        <v>1487</v>
      </c>
      <c r="E9" s="35" t="s">
        <v>1521</v>
      </c>
    </row>
    <row r="10" spans="1:5" ht="29" x14ac:dyDescent="0.35">
      <c r="A10" s="37" t="s">
        <v>36</v>
      </c>
      <c r="B10" s="35" t="s">
        <v>12</v>
      </c>
      <c r="C10" s="35" t="s">
        <v>1277</v>
      </c>
      <c r="D10" s="35" t="s">
        <v>1488</v>
      </c>
      <c r="E10" s="35" t="s">
        <v>1522</v>
      </c>
    </row>
    <row r="11" spans="1:5" ht="29" x14ac:dyDescent="0.35">
      <c r="A11" s="37" t="s">
        <v>40</v>
      </c>
      <c r="B11" s="35" t="s">
        <v>12</v>
      </c>
      <c r="C11" s="35" t="s">
        <v>1277</v>
      </c>
      <c r="D11" s="35" t="s">
        <v>1489</v>
      </c>
      <c r="E11" s="35" t="s">
        <v>1523</v>
      </c>
    </row>
    <row r="12" spans="1:5" ht="29" x14ac:dyDescent="0.35">
      <c r="A12" s="37" t="s">
        <v>43</v>
      </c>
      <c r="B12" s="35" t="s">
        <v>44</v>
      </c>
      <c r="C12" s="35" t="s">
        <v>1275</v>
      </c>
      <c r="D12" s="35" t="s">
        <v>1490</v>
      </c>
      <c r="E12" s="35" t="s">
        <v>1524</v>
      </c>
    </row>
    <row r="13" spans="1:5" ht="29" x14ac:dyDescent="0.35">
      <c r="A13" s="37" t="s">
        <v>47</v>
      </c>
      <c r="B13" s="35" t="s">
        <v>44</v>
      </c>
      <c r="C13" s="35" t="s">
        <v>1275</v>
      </c>
      <c r="D13" s="41" t="s">
        <v>1491</v>
      </c>
      <c r="E13" s="35" t="s">
        <v>1525</v>
      </c>
    </row>
    <row r="14" spans="1:5" ht="43.5" x14ac:dyDescent="0.35">
      <c r="A14" s="37" t="s">
        <v>51</v>
      </c>
      <c r="B14" s="35" t="s">
        <v>7</v>
      </c>
      <c r="C14" s="35" t="s">
        <v>1275</v>
      </c>
      <c r="D14" s="35" t="s">
        <v>1492</v>
      </c>
      <c r="E14" s="35" t="s">
        <v>1526</v>
      </c>
    </row>
    <row r="15" spans="1:5" ht="29" x14ac:dyDescent="0.35">
      <c r="A15" s="37" t="s">
        <v>54</v>
      </c>
      <c r="B15" s="35" t="s">
        <v>12</v>
      </c>
      <c r="C15" s="35" t="s">
        <v>1275</v>
      </c>
      <c r="D15" s="35" t="s">
        <v>1493</v>
      </c>
      <c r="E15" s="35" t="s">
        <v>1526</v>
      </c>
    </row>
    <row r="16" spans="1:5" ht="29" x14ac:dyDescent="0.35">
      <c r="A16" s="37" t="s">
        <v>57</v>
      </c>
      <c r="B16" s="35" t="s">
        <v>7</v>
      </c>
      <c r="C16" s="35" t="s">
        <v>1275</v>
      </c>
      <c r="D16" s="35" t="s">
        <v>1494</v>
      </c>
      <c r="E16" s="35" t="s">
        <v>1526</v>
      </c>
    </row>
    <row r="17" spans="1:5" ht="29" x14ac:dyDescent="0.35">
      <c r="A17" s="37" t="s">
        <v>60</v>
      </c>
      <c r="B17" s="35" t="s">
        <v>44</v>
      </c>
      <c r="C17" s="35" t="s">
        <v>1275</v>
      </c>
      <c r="D17" s="35" t="s">
        <v>1495</v>
      </c>
      <c r="E17" s="35" t="s">
        <v>1527</v>
      </c>
    </row>
    <row r="18" spans="1:5" ht="29" x14ac:dyDescent="0.35">
      <c r="A18" s="37" t="s">
        <v>62</v>
      </c>
      <c r="B18" s="35" t="s">
        <v>7</v>
      </c>
      <c r="C18" s="35" t="s">
        <v>1277</v>
      </c>
      <c r="D18" s="35" t="s">
        <v>1496</v>
      </c>
      <c r="E18" s="35" t="s">
        <v>1526</v>
      </c>
    </row>
    <row r="19" spans="1:5" ht="29" x14ac:dyDescent="0.35">
      <c r="A19" s="37" t="s">
        <v>66</v>
      </c>
      <c r="B19" s="35" t="s">
        <v>7</v>
      </c>
      <c r="C19" s="35" t="s">
        <v>1277</v>
      </c>
      <c r="D19" s="35" t="s">
        <v>1497</v>
      </c>
      <c r="E19" s="35" t="s">
        <v>1528</v>
      </c>
    </row>
    <row r="20" spans="1:5" ht="43.5" x14ac:dyDescent="0.35">
      <c r="A20" s="37" t="s">
        <v>69</v>
      </c>
      <c r="B20" s="35" t="s">
        <v>12</v>
      </c>
      <c r="C20" s="35" t="s">
        <v>1273</v>
      </c>
      <c r="D20" s="39" t="s">
        <v>1498</v>
      </c>
      <c r="E20" s="40" t="s">
        <v>1529</v>
      </c>
    </row>
    <row r="21" spans="1:5" ht="43.5" x14ac:dyDescent="0.35">
      <c r="A21" s="37" t="s">
        <v>72</v>
      </c>
      <c r="B21" s="35" t="s">
        <v>12</v>
      </c>
      <c r="C21" s="35" t="s">
        <v>1277</v>
      </c>
      <c r="D21" s="35" t="s">
        <v>1499</v>
      </c>
      <c r="E21" s="35" t="s">
        <v>1526</v>
      </c>
    </row>
    <row r="22" spans="1:5" ht="43.5" x14ac:dyDescent="0.35">
      <c r="A22" s="37" t="s">
        <v>76</v>
      </c>
      <c r="B22" s="35" t="s">
        <v>12</v>
      </c>
      <c r="C22" s="35" t="s">
        <v>1275</v>
      </c>
      <c r="D22" s="39" t="s">
        <v>1500</v>
      </c>
      <c r="E22" s="35" t="s">
        <v>1526</v>
      </c>
    </row>
    <row r="23" spans="1:5" ht="29" x14ac:dyDescent="0.35">
      <c r="A23" s="37" t="s">
        <v>79</v>
      </c>
      <c r="B23" s="35" t="s">
        <v>7</v>
      </c>
      <c r="C23" s="35" t="s">
        <v>1277</v>
      </c>
      <c r="D23" s="35" t="s">
        <v>1501</v>
      </c>
      <c r="E23" s="35" t="s">
        <v>1530</v>
      </c>
    </row>
    <row r="24" spans="1:5" ht="43.5" x14ac:dyDescent="0.35">
      <c r="A24" s="37" t="s">
        <v>82</v>
      </c>
      <c r="B24" s="35" t="s">
        <v>44</v>
      </c>
      <c r="C24" s="35" t="s">
        <v>1277</v>
      </c>
      <c r="D24" s="35" t="s">
        <v>1502</v>
      </c>
      <c r="E24" s="35" t="s">
        <v>1531</v>
      </c>
    </row>
    <row r="25" spans="1:5" ht="29" x14ac:dyDescent="0.35">
      <c r="A25" s="37" t="s">
        <v>84</v>
      </c>
      <c r="B25" s="35" t="s">
        <v>85</v>
      </c>
      <c r="C25" s="35" t="s">
        <v>1277</v>
      </c>
      <c r="D25" s="35" t="s">
        <v>1503</v>
      </c>
      <c r="E25" s="35" t="s">
        <v>1532</v>
      </c>
    </row>
    <row r="26" spans="1:5" ht="29" x14ac:dyDescent="0.35">
      <c r="A26" s="37" t="s">
        <v>88</v>
      </c>
      <c r="B26" s="35" t="s">
        <v>7</v>
      </c>
      <c r="C26" s="35" t="s">
        <v>1273</v>
      </c>
      <c r="D26" s="35" t="s">
        <v>1504</v>
      </c>
      <c r="E26" s="35" t="s">
        <v>1533</v>
      </c>
    </row>
    <row r="27" spans="1:5" ht="29" x14ac:dyDescent="0.35">
      <c r="A27" s="37" t="s">
        <v>91</v>
      </c>
      <c r="B27" s="35" t="s">
        <v>7</v>
      </c>
      <c r="C27" s="35" t="s">
        <v>1273</v>
      </c>
      <c r="D27" s="35" t="s">
        <v>1505</v>
      </c>
      <c r="E27" s="35" t="s">
        <v>1526</v>
      </c>
    </row>
    <row r="28" spans="1:5" ht="43.5" x14ac:dyDescent="0.35">
      <c r="A28" s="37" t="s">
        <v>94</v>
      </c>
      <c r="B28" s="35" t="s">
        <v>85</v>
      </c>
      <c r="C28" s="35" t="s">
        <v>1277</v>
      </c>
      <c r="D28" s="35" t="s">
        <v>1506</v>
      </c>
      <c r="E28" s="35" t="s">
        <v>1534</v>
      </c>
    </row>
    <row r="29" spans="1:5" ht="43.5" x14ac:dyDescent="0.35">
      <c r="A29" s="37" t="s">
        <v>97</v>
      </c>
      <c r="B29" s="35" t="s">
        <v>85</v>
      </c>
      <c r="C29" s="35" t="s">
        <v>1277</v>
      </c>
      <c r="D29" s="35" t="s">
        <v>1507</v>
      </c>
      <c r="E29" s="35" t="s">
        <v>1535</v>
      </c>
    </row>
    <row r="30" spans="1:5" ht="43.5" x14ac:dyDescent="0.35">
      <c r="A30" s="37" t="s">
        <v>100</v>
      </c>
      <c r="B30" s="35" t="s">
        <v>12</v>
      </c>
      <c r="C30" s="35" t="s">
        <v>1277</v>
      </c>
      <c r="D30" s="39" t="s">
        <v>1508</v>
      </c>
      <c r="E30" s="35" t="s">
        <v>1526</v>
      </c>
    </row>
    <row r="31" spans="1:5" ht="43.5" x14ac:dyDescent="0.35">
      <c r="A31" s="37" t="s">
        <v>102</v>
      </c>
      <c r="B31" s="35" t="s">
        <v>12</v>
      </c>
      <c r="C31" s="35" t="s">
        <v>1273</v>
      </c>
      <c r="D31" s="35" t="s">
        <v>1509</v>
      </c>
      <c r="E31" s="35" t="s">
        <v>1526</v>
      </c>
    </row>
    <row r="32" spans="1:5" ht="29" x14ac:dyDescent="0.35">
      <c r="A32" s="37" t="s">
        <v>104</v>
      </c>
      <c r="B32" s="35" t="s">
        <v>12</v>
      </c>
      <c r="C32" s="35" t="s">
        <v>1277</v>
      </c>
      <c r="D32" s="35" t="s">
        <v>1510</v>
      </c>
      <c r="E32" s="35" t="s">
        <v>1536</v>
      </c>
    </row>
    <row r="33" spans="1:5" ht="29" x14ac:dyDescent="0.35">
      <c r="A33" s="37" t="s">
        <v>108</v>
      </c>
      <c r="B33" s="35" t="s">
        <v>7</v>
      </c>
      <c r="C33" s="35" t="s">
        <v>1277</v>
      </c>
      <c r="D33" s="39" t="s">
        <v>1511</v>
      </c>
      <c r="E33" s="35" t="s">
        <v>1537</v>
      </c>
    </row>
    <row r="34" spans="1:5" ht="43.5" x14ac:dyDescent="0.35">
      <c r="A34" s="37" t="s">
        <v>111</v>
      </c>
      <c r="B34" s="35" t="s">
        <v>44</v>
      </c>
      <c r="C34" s="35" t="s">
        <v>1277</v>
      </c>
      <c r="D34" s="39" t="s">
        <v>1512</v>
      </c>
      <c r="E34" s="35" t="s">
        <v>1538</v>
      </c>
    </row>
    <row r="35" spans="1:5" ht="29" x14ac:dyDescent="0.35">
      <c r="A35" s="37" t="s">
        <v>114</v>
      </c>
      <c r="B35" s="35" t="s">
        <v>12</v>
      </c>
      <c r="C35" s="35" t="s">
        <v>1277</v>
      </c>
      <c r="D35" s="35" t="s">
        <v>1513</v>
      </c>
      <c r="E35" s="35" t="s">
        <v>1539</v>
      </c>
    </row>
    <row r="39" spans="1:5" x14ac:dyDescent="0.35">
      <c r="B39" s="3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Extracted Evidence</vt:lpstr>
      <vt:lpstr>Challenges Coding</vt:lpstr>
      <vt:lpstr>Limitations Coding</vt:lpstr>
      <vt:lpstr>Temporal Analysis</vt:lpstr>
      <vt:lpstr>Objective and Scope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Citlalli Selene Avalos Montiel</dc:creator>
  <cp:lastModifiedBy>Citlalli Avalos</cp:lastModifiedBy>
  <dcterms:created xsi:type="dcterms:W3CDTF">2026-04-23T17:36:56Z</dcterms:created>
  <dcterms:modified xsi:type="dcterms:W3CDTF">2026-06-24T00:18:05Z</dcterms:modified>
</cp:coreProperties>
</file>